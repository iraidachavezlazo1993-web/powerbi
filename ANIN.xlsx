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epcion_tribona\Downloads\"/>
    </mc:Choice>
  </mc:AlternateContent>
  <xr:revisionPtr revIDLastSave="0" documentId="8_{04489244-2960-4E16-BC9A-CDDEA257898F}" xr6:coauthVersionLast="47" xr6:coauthVersionMax="47" xr10:uidLastSave="{00000000-0000-0000-0000-000000000000}"/>
  <bookViews>
    <workbookView xWindow="-120" yWindow="-120" windowWidth="29040" windowHeight="15720" xr2:uid="{583B771D-7CC1-4F4A-A021-1E829DB625F8}"/>
  </bookViews>
  <sheets>
    <sheet name="Anexo 1" sheetId="1" r:id="rId1"/>
    <sheet name="Resumen" sheetId="3" state="hidden" r:id="rId2"/>
  </sheets>
  <definedNames>
    <definedName name="_xlnm._FilterDatabase" localSheetId="0" hidden="1">'Anexo 1'!$A$3:$R$3</definedName>
  </definedNames>
  <calcPr calcId="191028"/>
  <pivotCaches>
    <pivotCache cacheId="77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9" i="1" l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<sst xmlns="http://schemas.openxmlformats.org/spreadsheetml/2006/main" count="787" uniqueCount="201">
  <si>
    <t>MANTENIMIENTO</t>
  </si>
  <si>
    <t>Ord</t>
  </si>
  <si>
    <t>CUI / ÍDEA</t>
  </si>
  <si>
    <t>NOMBRE CORTO</t>
  </si>
  <si>
    <t>NOMBRE DE LA INVERSIÓN</t>
  </si>
  <si>
    <t>DEPARTAMENTO</t>
  </si>
  <si>
    <t>ESTADO</t>
  </si>
  <si>
    <t>% DE AVANCE DISEÑO</t>
  </si>
  <si>
    <t>(%) DE AVANCE FÍSICO DE OBRA</t>
  </si>
  <si>
    <t>Culminados/Entregados Fecha</t>
  </si>
  <si>
    <t>COSTO ACTUALIZADO</t>
  </si>
  <si>
    <t>DEVENGADO ACUMULADO</t>
  </si>
  <si>
    <t>Avance Financiero</t>
  </si>
  <si>
    <t>PAM 2025</t>
  </si>
  <si>
    <t>PAM 2026</t>
  </si>
  <si>
    <t>CONVENIO MANTENIMIENTO</t>
  </si>
  <si>
    <t>COMENTARIO</t>
  </si>
  <si>
    <t>NOMBRE CONVENIO</t>
  </si>
  <si>
    <t>LOCAL ESCOLAR N° 1639 - CHEPEN</t>
  </si>
  <si>
    <t>REHABILITACIÓN DEL LOCAL ESCOLAR N° 1639 CON CÓDIGO LOCAL 258882, DISTRITO DE CHEPÉN, PROVINCIA DE CHEPÉN, REGIÓN LA LIBERTAD</t>
  </si>
  <si>
    <t>LA LIBERTAD</t>
  </si>
  <si>
    <t>Culminado</t>
  </si>
  <si>
    <t>NO</t>
  </si>
  <si>
    <t>-</t>
  </si>
  <si>
    <t>LOCAL ESCOLAR N° 80892 LOS PINOS</t>
  </si>
  <si>
    <t>REHABILITACIÓN DEL LOCAL ESCOLAR N° 80892 LOS PINOS CON CÓDIGO LOCAL 249982, DISTRITO DE TRUJILLO, PROVINCIA DE TRUJILLO, REGIÓN LA LIBERTAD</t>
  </si>
  <si>
    <t>LOCAL ESCOLAR N° 80669 - SAN JOSÉ</t>
  </si>
  <si>
    <t>REHABILITACIÓN DEL LOCAL ESCOLAR N° 80669 CON CÓDIGO LOCAL 265953, DISTRITO DE SAN JOSÉ, PROVINCIA DE PACASMAYO, REGIÓN LA LIBERTAD</t>
  </si>
  <si>
    <t>LOCAL ESCOLAR N° 80382 CARLOS A. OLIVARES</t>
  </si>
  <si>
    <t>REHABILITACIÓN DEL LOCAL ESCOLAR N° 80382 CARLOS A. OLIVARES CON CÓDIGO LOCAL 258783, DISTRITO DE CHEPÉN, PROVINCIA DE CHEPÉN, REGIÓN LA LIBERTAD</t>
  </si>
  <si>
    <t>LOCAL ESCOLAR N° 88014 JOSE OLAYA</t>
  </si>
  <si>
    <t>REHABILITACIÓN DEL LOCAL ESCOLAR N° 88014 JOSE OLAYA CON CÓDIGO LOCAL 034284, DISTRITO DE CHIMBOTE, PROVINCIA SANTA, REGIÓN ANCASH.</t>
  </si>
  <si>
    <t>ANCASH</t>
  </si>
  <si>
    <t>LOCAL ESCOLAR N° 88104 MARÍA PARADO DE BELLIDO</t>
  </si>
  <si>
    <t>REHABILITACIÓN DEL LOCAL ESCOLAR N° 88104 MARÍA PARADO DE BELLIDO CON CÓDIGO LOCAL 022177, DISTRITO DE CASMA, PROVINCIA DE CASMA, DEPARTAMENTO DE ANCASH</t>
  </si>
  <si>
    <t xml:space="preserve">LOCAL ESCOLAR N° 1556 ANGELITOS DE JESÚS </t>
  </si>
  <si>
    <t>REHABILITACIÓN DEL LOCAL ESCOLAR N° 1556 ANGELITOS DE JESÚS CON CÓDIGO LOCAL 022016, DISTRITO DE CASMA, PROVINCIA DE CASMA, REGIÓN DE ANCASH</t>
  </si>
  <si>
    <t>LOCAL ESCOLAR N° 88232 NUESTRA VIRGEN MARIA</t>
  </si>
  <si>
    <t>IRI EN LOCAL EDUCATIVO CON CÓDIGO DE LOCAL 34062</t>
  </si>
  <si>
    <t>LOCAL ESCOLAR N° 88331 - SANTA</t>
  </si>
  <si>
    <t>REHABILITACIÓN DEL LOCAL ESCOLAR N° 88331  CON CÓDIGO LOCAL 037541, DISTRITO DE SANTA, PROVINCIA DE SANTA, REGIÓN ANCASH</t>
  </si>
  <si>
    <t>LOCAL ESCOLAR N° 89008 ANDRÉS AVELINO CÁCERES</t>
  </si>
  <si>
    <t>REHABILITACIÓN DEL LOCAL ESCOLAR N° 89008 ANDRÉS AVELINO CÁCERES CON CÓDIGO LOCAL 034665, DISTRITO DE CHIMBOTE, PROVINCIA DE SANTA, REGIÓN ANCASH</t>
  </si>
  <si>
    <t>LOCAL ESCOLAR N° 88227 PEDRO PABLO ATUSPARIA</t>
  </si>
  <si>
    <t>REHABILITACIÓN DEL LOCAL ESCOLAR N° 88227 PEDRO PABLO ATUSPARIA  CON CÓDIGO LOCAL 037923, DISTRITO DE NUEVO CHIMBOTE, PROVINCIA DE SANTA, REGIÓN ANCASH</t>
  </si>
  <si>
    <t>LOCAL ESCOLAR N° 88100 INMACULADA CONCEPCIÓN</t>
  </si>
  <si>
    <t>REHABILITACIÓN DEL LOCAL ESCOLAR N° 88100 INMACULADA CONCEPCIÓN CON CÓDIGO LOCAL 022144, DISTRITO DE CASMA, PROVINCIA DE CASMA, REGIÓN ANCASH</t>
  </si>
  <si>
    <t>LOCAL ESCOLAR N° 88037 ANTENOR SÁNCHEZ</t>
  </si>
  <si>
    <t>REHABILITACIÓN DEL LOCAL ESCOLAR N° 88037 ANTENOR SÁNCHEZ CON CÓDIGO LOCAL 034420, DISTRITO DE CHIMBOTE, PROVINCIA DE SANTA, REGIÓN ANCASH</t>
  </si>
  <si>
    <t>LOCAL ESCOLAR N° 88034 PEDRO RUIZ GALLO</t>
  </si>
  <si>
    <t>REHABILITACIÓN DEL LOCAL ESCOLAR N° 88034 PEDRO RUIZ GALLO CON CÓDIGO LOCAL 034401, DISTRITO DE CHIMBOTE, PROVINCIA DE SANTA, REGIÓN ANCASH</t>
  </si>
  <si>
    <t>LOCAL ESCOLAR N° 11057 SAN LORENZO</t>
  </si>
  <si>
    <t>REHABILITACIÓN DEL LOCAL ESCOLAR N° 11057 SAN LORENZO CON CÓDIGO LOCAL 278724, DISTRITO DE JOSÉ LEONARDO ORTIZ, PROVINCIA DE CHICLAYO, REGIÓN LAMBAYEQUE</t>
  </si>
  <si>
    <t>LAMBAYEQUE</t>
  </si>
  <si>
    <t>LOCAL ESCOLAR N° 11011 SEÑOR DE LOS MILAGROS</t>
  </si>
  <si>
    <t>REHABILITACIÓN DEL LOCAL ESCOLAR N° 11011 SEÑOR DE LOS MILAGROS CON CÓDIGO LOCAL 278516, DISTRITO DE JOSE LEONARDO ORTIZ, PROVINCIA DE CHICLAYO, REGIÓN LAMBAYEQUE</t>
  </si>
  <si>
    <t>LOCAL ESCOLAR MARIANO MELGAR VALDIVIEZO</t>
  </si>
  <si>
    <t>REHABILITACIÓN DEL LOCAL ESCOLAR MARIANO MELGAR VALDIVIEZO CON CÓDIGO LOCAL 673705, DISTRITO DE JOSE LEONARDO ORTIZ, PROVINCIA DE CHICLAYO, REGIÓN LAMBAYEQUE</t>
  </si>
  <si>
    <t>LOCAL ESCOLAR CEBA – SAN JUAN</t>
  </si>
  <si>
    <t>REHABILITACIÓN DEL LOCAL ESCOLAR CEBA – SAN JUAN CON CÓDIGO LOCAL 284094, DISTRITO DE ILLIMO, PROVINCIA DE LAMBAYEQUE, REGIÓN LAMBAYEQUE</t>
  </si>
  <si>
    <t>LOCAL ESCOLAR N° 10945 HEROÍNA MARÍA PARADO DE BELLIDO</t>
  </si>
  <si>
    <t>REHABILITACIÓN DEL LOCAL ESCOLAR N° 10945 HEROÍNA MARÍA PARADO DE BELLIDO CON CÓDIGO LOCAL 278696, DISTRITO DE JOSÉ LEONARDO ORTIZ, PROVINCIA DE CHICLAYO, REGIÓN LAMBAYEQUE</t>
  </si>
  <si>
    <t>LOCAL ESCOLAR N 094 SOTERITO LÓPEZ ESPINOZA</t>
  </si>
  <si>
    <t>REHABILITACIÓN DEL LOCAL ESCOLAR N 094 SOTERITO LÓPEZ ESPINOZA CON CÓDIGO LOCAL 492583, DISTRITO DE ZARUMILLA, PROVINCIA DE ZARUMILLA, REGIÓN TUMBES.</t>
  </si>
  <si>
    <t>TUMBES</t>
  </si>
  <si>
    <t>LOCAL ESCOLAR N° 005 TARCILLA DE JESÚS GRANDA MORA</t>
  </si>
  <si>
    <t>REHABILITACION DEL LOCAL ESCOLAR N° 005 TARCILLA DE JESÚS GRANDA MORA CON CÓDIGO DE LOCAL 490193, DISTRITO DE TUMBES, PROVINCIA DE TUMBES, REGIÓN TUMBES</t>
  </si>
  <si>
    <t>LOCAL ESCOLAR N° 88106 JOSÉ CARLOS MARIÁTEGUI</t>
  </si>
  <si>
    <t>REHABILITACIÓN DEL LOCAL ESCOLAR N° 88106 JOSÉ CARLOS MARIÁTEGUI CON CÓDIGO LOCAL Nº 025944, DISTRITO DE HUARMEY, PROVINCIA DE HUARMEY, DEPARTAMENTO DE ANCASH</t>
  </si>
  <si>
    <t>LOCAL EDUCATIVO N° 88336 GASTON VIDAL PORTURAS</t>
  </si>
  <si>
    <t>IRI EN EL LOCAL EDUCATIVO CON CÓDIGO DE LOCAL 37961</t>
  </si>
  <si>
    <t>SI</t>
  </si>
  <si>
    <t>Se intervino con mantenimiento</t>
  </si>
  <si>
    <t xml:space="preserve">SE REALIZARÓN SERVICIOS DE MANTENIMINETO EN EL MARCO DE LA LEY DE CONTRATACIONES </t>
  </si>
  <si>
    <t>Convenio de cooperación interinstitucional de encargo de Gestión entre la Autoridad Nacional de infraestructura (ANIN) y el Gobierno Regional de Ancash para el mantenimiento de activos generados de las obras a cargo de la ANIN.</t>
  </si>
  <si>
    <t>LOCAL EDUCATIVO 88301 - PAMPAROMAS</t>
  </si>
  <si>
    <t>IRI EN EL LOCAL EDUCATIVO CON CÓDIGO DE LOCAL 27698</t>
  </si>
  <si>
    <t xml:space="preserve">LOCAL ESCOLAR N° 89001 - EX PREVOCACIONAL -CHIMBOTE
</t>
  </si>
  <si>
    <t>REHABILITACIÓN DEL LOCAL ESCOLAR N° 89001 CON CÓDIGO LOCAL Nº 034613, DISTRITO DE CHIMBOTE, PROVINCIA DE SANTA, DEPARTAMENTO DE ANCASH</t>
  </si>
  <si>
    <t>LOCAL ESCOLAR N° 88023 MIGUEL GRAU</t>
  </si>
  <si>
    <t>REHABILITACIÓN DEL LOCAL ESCOLAR N° 88023 ALMIRANTE MIGUEL GRAU SEMINARIO CON CÓDIGO LOCAL Nº 034340, DISTRITO DE CHIMBOTE, PROVINCIA DE SANTA, DEPARTAMENTO ANCASH</t>
  </si>
  <si>
    <t>LOCAL ESCOLAR N° 84156 - SAN NICOLAS</t>
  </si>
  <si>
    <t>RECUPERACIÓN DEL LOCAL ESCOLAR N° 84156 CON CÓDIGO DE LOCAL 021639, DISTRITO DE SAN NICOLAS, PROVINCIA DE CARLOS FERMÍN FITZCARRALD, DEPARTAMENTO ANCASH</t>
  </si>
  <si>
    <t>Ejecución Obra</t>
  </si>
  <si>
    <t>En ejecución Obra</t>
  </si>
  <si>
    <t>SE ENCUENTRAN EN EJECUCIÓN DE OBRA, EL CONVENIO SE HACE EFECTIVO CUANDO SE ENTREGUE EL PROYECTO</t>
  </si>
  <si>
    <t>LOCAL EDUCATIVO 86499 LUIS TORRES SALAZAR - HUATA</t>
  </si>
  <si>
    <t>IRI EN LOCAL EDUCATIVO CON CÓDIGO DE LOCAL 027151</t>
  </si>
  <si>
    <t>LOCAL ESCOLAR N° 86127 - PARIACOTO</t>
  </si>
  <si>
    <t>REHABILITACIÓN DEL LOCAL ESCOLAR N° 86127 CON CÓDIGO LOCAL Nº 017246, DISTRITO DE PARIACOTO, PROVINCIA DE HUARAZ, DEPARTAMENTO DE ANCASH</t>
  </si>
  <si>
    <t>LOCAL EDUCATIVO 821356 - JOSE SABOGAL</t>
  </si>
  <si>
    <t>IRI EN EL LOCAL EDUCATIVO CON CÓDIGO DE LOCAL 575917</t>
  </si>
  <si>
    <t>CAJAMARCA</t>
  </si>
  <si>
    <t>Convenio de cooperación interinstitucional de encargo de Gestión entre la Autoridad Nacional de infraestructura (ANIN) y el Gobierno Regional de Cajamarca para el mantenimiento de activos generados de las obras a cargo de la ANIN.</t>
  </si>
  <si>
    <t>LOCAL EDUCATIVO 82323 - CONDEBAMBA</t>
  </si>
  <si>
    <t>IRI EN LOCAL EDUCATIVO CON CÓDIGO DE LOCAL 100844</t>
  </si>
  <si>
    <t>LOCAL EDUCATIVO 81534 - SANTIAGO DE CAO</t>
  </si>
  <si>
    <t>IRI EN LOCAL EDUCATIVO CON CÓDIGO DE LOCAL 257298</t>
  </si>
  <si>
    <t>LOCAL EDUCATIVO CASA GRANDE</t>
  </si>
  <si>
    <t>IRI EN LOCAL EDUCATIVO CON CÓDIGO DE LOCAL 257528</t>
  </si>
  <si>
    <t>Convenio de cooperación interinstitucional de encargo de Gestión entre la Autoridad Nacional de infraestructura (ANIN) y el Gobierno Regional de la Libertad para el mantenimiento de activos generados de las obras a cargo de la ANIN.</t>
  </si>
  <si>
    <t>LOCAL EDUCATIVO 14037 SANTIAGO A REQUENA CASTRO</t>
  </si>
  <si>
    <t>IRI EN LOCAL EDUCATIVO CON CÓDIGO DE LOCAL 413350</t>
  </si>
  <si>
    <t>PIURA</t>
  </si>
  <si>
    <t>LOCAL EDUCATIVO 14065 - LA UNION</t>
  </si>
  <si>
    <t>IRI EN LOCAL EDUCATIVO CON CÓDIGO DE LOCAL 414707</t>
  </si>
  <si>
    <t>EN PROCESO DE TENER CONVENIO</t>
  </si>
  <si>
    <t>LOCAL ESCOLAR MARÍA AUXILIADORA</t>
  </si>
  <si>
    <t>REHABILITACIÓN DEL LOCAL ESCOLAR MARÍA AUXILIADORA CON CÓDIGO LOCAL Nº 430284, DISTRITO DE CHULUCANAS, PROVINCIA DE MORROPON, DEPARTAMENTO DE PIURA</t>
  </si>
  <si>
    <t>LOCAL EDUCATIVO RICARDO PALMA</t>
  </si>
  <si>
    <t>IRI EN LOCAL EDUCATIVO CON CÓDIGO DE LOCAL 434927</t>
  </si>
  <si>
    <t>Convenio de cooperación interinstitucional de encargo de Gestión entre la Autoridad Nacional de infraestructura (ANIN) y el Gobierno Regional de Piura para el mantenimiento de activos generados de las obras a cargo de la ANIN.</t>
  </si>
  <si>
    <t>LOCAL EDUCATIVO VIRGEN DEL CARMEN</t>
  </si>
  <si>
    <t>IRI EN LOCAL EDUCATIVO CON CÓDIGO DE LOCAL 413307</t>
  </si>
  <si>
    <t>LOCAL ESCOLAR Nº 14654 - SALITRAL</t>
  </si>
  <si>
    <t>REHABILITACIÓN DEL LOCAL ESCOLAR Nº 14654 CON CÓDIGO LOCAL Nº 432184, DISTRITO DE SALITRAL, PROVINCIA DE MORROPON, DEPARTAMENTO DE PIURA</t>
  </si>
  <si>
    <t>LOCAL EDUCATIVO 14010 MIGUEL F. CERRO-VICE</t>
  </si>
  <si>
    <t>IRI EN LOCAL EDUCATIVO CON CÓDIGO DE LOCAL 440773</t>
  </si>
  <si>
    <t>LOCAL EDUCATIVO N° 14858 - MIGUEL CHECA</t>
  </si>
  <si>
    <t>IRI EN EL LOCAL EDUCATIVO CON CÓDIGO DE LOCAL 437775</t>
  </si>
  <si>
    <t>LOCAL EDUCATIVO IGNACIO MERINO - PARIÑAS</t>
  </si>
  <si>
    <t>IRI EN LOCAL EDUCATIVO CON CÓDIGO DE LOCAL 438614</t>
  </si>
  <si>
    <t>LOCAL EDUCATIVO N° 14062 NUESTRA SEÑORA DE LAS MERCEDES</t>
  </si>
  <si>
    <t>IRI EN LOCAL EDUCATIVO CON CÓDIGO DE LOCAL 770240</t>
  </si>
  <si>
    <t>LOCAL ESCOLAR SAN CRISTO</t>
  </si>
  <si>
    <t>REHABILITACIÓN DEL LOCAL ESCOLAR SAN CRISTO CON CÓDIGO LOCAL Nº 440688, DISTRITO DE CRISTO NOS VALGA, PROVINCIA DE SECHURA, DEPARTAMENTO DE PIURA</t>
  </si>
  <si>
    <t>LOCAL ESCOLAR N° 1563 CRISTO REY AMIGO DE LOS NIÑOS</t>
  </si>
  <si>
    <t>REHABILITACIÓN DEL LOCAL ESCOLAR N° 1563 CRISTO REY AMIGO DE LOS NIÑOS CON CÓDIGO DE LOCAL 037701, DISTRITO DE NUEVO CHIMBOTE, PROVINCIA DE SANTA, DEPARTAMENTO ANCASH</t>
  </si>
  <si>
    <t>LOCAL EDUCATIVO SAN JUAN</t>
  </si>
  <si>
    <t>IRI EN LOCAL EDUCATIVO CON CÓDIGO DE LOCAL 034547</t>
  </si>
  <si>
    <t>LOCAL ESCOLAR VILLA MARÍA</t>
  </si>
  <si>
    <t>REHABILITACIÓN DEL LOCAL ESCOLAR VILLA MARÍA CON CÓDIGO LOCAL Nº 037999, DISTRITO DE NUEVO CHIMBOTE, PROVINCIA DE SANTA, DEPARTAMENTO DE ANCASH</t>
  </si>
  <si>
    <t>LOCAL EDUCATIVO APOSTOL SAN PEDRO</t>
  </si>
  <si>
    <t>IRI EN LOCAL EDUCATIVO CON CÓDIGO DE LOCAL 034397</t>
  </si>
  <si>
    <t>LOCAL ESCOLAR N° 86625 - ANGELICA HARADA VASQUEZ</t>
  </si>
  <si>
    <t xml:space="preserve">REHABILITACION DE AMBIENTE DE ADMINISTRACION Y/O GESTION PEDAGOGICA Y DE MOBILIARIO DE AULA Y DE EQUIPAMIENTO DE AULA Y DE MODULO DE ATENCION TEMPORAL, EN EL(LA) 86625 ANGELICA HARADA VASQUEZ - YUNGAY, AURA DEL DISTRITO DE YUNGAY - PROVINCIA DE YUNGAY - DEPARTAMENTO DE ANCASH  </t>
  </si>
  <si>
    <t>LOCAL ESCOLAR N° 86620 SANTA FE</t>
  </si>
  <si>
    <t>REHABILITACIÓN DEL LOCAL ESCOLAR N° 86620 SANTA FE CON CÓDIGO LOCAL Nº 040647, DISTRITO DE YUNGAY, PROVINCIA DE YUNGAY, DEPARTAMENTO DE ANCASH</t>
  </si>
  <si>
    <t>LOCAL ESCOLAR ANDRÉS AVELINO CÁCERES</t>
  </si>
  <si>
    <t>REHABILITACIÓN DEL LOCAL ESCOLAR ANDRÉS AVELINO CÁCERES CON CÓDIGO LOCAL 179955, DISTRITO DE AURAHUA, PROVINCIA DE CASTROVIRREYNA, REGIÓN HUANCAVELICA</t>
  </si>
  <si>
    <t>HUANCAVELICA</t>
  </si>
  <si>
    <t>Convenio de cooperación interinstitucional de encargo de Gestión entre la Autoridad Nacional de infraestructura (ANIN) y el Gobierno Regional de Huancavelica para el mantenimiento de activos generados de las obras a cargo de la ANIN.</t>
  </si>
  <si>
    <t>LOCAL EDUCATIVO REPUBLICA DE COLOMBIA</t>
  </si>
  <si>
    <t>IRI EN LOCAL EDUCATIVO CON CÓDIGO DE LOCAL 358607</t>
  </si>
  <si>
    <t>LIMA</t>
  </si>
  <si>
    <t>Convenio de cooperación interinstitucional de encargo de Gestión entre la Autoridad Nacional de infraestructura (ANIN) y el Gobierno Regional de Lima para el mantenimiento de activos generados de las obras a cargo de la ANIN.</t>
  </si>
  <si>
    <t>LOCAL EDUCATIVO SAN JUAN BAUTISTA PRECURSOR</t>
  </si>
  <si>
    <t>IRI EN LOCAL EDUCATIVO CON CÓDIGO DE LOCAL 358061</t>
  </si>
  <si>
    <t>LOCAL ESCOLAR N° 80138 ABELARDO GAMARRA RONDO</t>
  </si>
  <si>
    <t>REHABILITACIÓN DEL LOCAL ESCOLAR N° 80138 ABELARDO GAMARRA RONDO CON CÓDIGO LOCAL Nº 269965, DISTRITO DE CURGOS, PROVINCIA DE SANCHEZ CARRIÓN, DEPARTAMENTO DE LA LIBERTAD</t>
  </si>
  <si>
    <t>LOCAL ESCOLAR N° 80374 JOSÉ SEVILLA ESCAJADILLO</t>
  </si>
  <si>
    <t>REHABILITACIÓN DEL LOCAL ESCOLAR N° 80374 JOSÉ SEVILLA ESCAJADILLO CON CÓDIGO LOCAL Nº 264425, DISTRITO DE SAN PEDRO DE LLOC, PROVINCIA DE PACASMAYO, DEPARTAMENTO LA LIBERTAD</t>
  </si>
  <si>
    <t>LOCAL EDUCATIVO JOSE MATIAS MANZANILLA</t>
  </si>
  <si>
    <t>IRI EN LOCAL EDUCATIVO CON CÓDIGO DE LOCAL 435719</t>
  </si>
  <si>
    <t>LOCAL ESCOLAR LA BREA</t>
  </si>
  <si>
    <t>REHABILITACION DE AMBIENTE DE ADMINISTRACION Y/O GESTION PEDAGOGICA Y DE MOBILIARIO DE AULA Y DE EQUIPAMIENTO DE AULA Y DE MODULO DE ATENCION TEMPORAL, EN EL(LA) LA BREA - LA BREA, NEGRITOS DEL DISTRITO DE LA BREA - PROVINCIA DE TALARA - DEPARTAMENTO DE PIURA</t>
  </si>
  <si>
    <t>LOCAL EDUCATIVO JOSE ABELARDO QUIÑONES</t>
  </si>
  <si>
    <t>IRI EN LOCAL EDUCATIVO CON CÓDIGO DE LOCAL 490145</t>
  </si>
  <si>
    <t>LOCAL EDUCATIVO N° 14594 SAN JOSÉ HUARMACA</t>
  </si>
  <si>
    <t>IRI EN LOCAL EDUCATIVO CON CÓDIGO DE LOCAL 426512</t>
  </si>
  <si>
    <t>LOCAL ESCOLAR TÉCNICO DE APLICACIÓN</t>
  </si>
  <si>
    <t>REHABILITACIÓN DEL LOCAL ESCOLAR TÉCNICO DE APLICACIÓN CON CÓDIGO LOCAL 414444, DISTRITO DE LA ARENA, PROVINCIA DE PIURA, REGIÓN PIURA</t>
  </si>
  <si>
    <t>LOCAL ESCOLAR N° 14641 - BUENOS AIRES</t>
  </si>
  <si>
    <t>REHABILITACIÓN DEL LOCAL ESCOLAR N° 14641 CON CÓDIGO LOCAL 430689, DISTRITO DE BUENOS AIRES, PROVINCIA DE MORROPÓN, REGIÓN PIURA</t>
  </si>
  <si>
    <t>LOCAL ESCOLAR N° 14790 MARÍA IGNACIA GARCÍA DE GONZALES</t>
  </si>
  <si>
    <t>RECUPERACIÓN DEL LOCAL ESCOLAR N° 14790 MARÍA IGNACIA GARCÍA DE GONZALES CON CÓDIGO LOCAL 435390, DISTRITO DE SULLANA, PROVINCIA DE SULLANA, REGIÓN PIURA</t>
  </si>
  <si>
    <t>LOCAL ESCOLAR N° 20509 SAN JOSÉ</t>
  </si>
  <si>
    <t>REHABILITACIÓN DEL LOCAL ESCOLAR N° 20509 SAN JOSÉ CON CÓDIGO LOCAL 436530, DISTRITO DE IGNACIO ESCUDERO, PROVINCIA DE SULLANA, REGIÓN PIURA</t>
  </si>
  <si>
    <t>LOCAL ESCOLAR Nº 14924 DANIEL ALCIDES CARRIÓN</t>
  </si>
  <si>
    <t>REHABILITACIÓN DEL LOCAL ESCOLAR Nº 14924 DANIEL ALCIDES CARRIÓN CON CÓDIGO LOCAL 416198, DISTRITO DE TAMBO GRANDE, PROVINCIA DE PIURA, REGIÓN PIURA</t>
  </si>
  <si>
    <t>LOCAL ESCOLAR CORONEL JOSÉ ANDRÉS RAZURI</t>
  </si>
  <si>
    <t>REHABILITACIÓN DEL LOCAL ESCOLAR CORONEL JOSÉ ANDRÉS RAZURI CON CÓDIGO LOCAL 413944, DISTRITO DE CURAMORI, PROVINCIA DE PIURA, REGIÓN PIURA</t>
  </si>
  <si>
    <t>LOCAL ESCOLAR N° 15079 VILLA MARIA</t>
  </si>
  <si>
    <t>REHABILITACIÓN DEL LOCAL ESCOLAR N° 15079 CON CÓDIGO LOCAL 435564, DISTRITO DE SULLANA, PROVINCIA DE SULLANA, REGIÓN PIURA.</t>
  </si>
  <si>
    <t>LOCAL ESCOLAR N° 15508 DOMINGO SAVIO</t>
  </si>
  <si>
    <t>REHABILITACIÓN DEL LOCAL ESCOLAR N° 15508 DOMINGO SAVIO CON CÓDIGO LOCAL 438398, DISTRITO DE PARIÑAS, PROVINCIA DE TALARA, REGIÓN PIURA</t>
  </si>
  <si>
    <t>LOCAL ESCOLAR GENARO MARTÍNEZ SILVA</t>
  </si>
  <si>
    <t>REHABILITACIÓN DEL LOCAL ESCOLAR GENARO MARTÍNEZ SILVA CON CÓDIGO LOCAL 413604, DISTRITO DE CATACAOS, PROVINCIA DE PIURA, REGIÓN PIURA</t>
  </si>
  <si>
    <t>LOCAL ESCOLAR JOSE JACOBO CRUZ VILLEGAS</t>
  </si>
  <si>
    <t>REHABILITACIÓN DEL LOCAL ESCOLAR JACOBO CRUZ VILLEGAS CON CÓDIGO LOCAL 413294, DISTRITO DE CATACAOS, PROVINCIA DE PIURA, REGIÓN PIURA.</t>
  </si>
  <si>
    <t>LOCAL ESCOLAR JOSÉ CAYETANO HEREDIA</t>
  </si>
  <si>
    <t>REHABILITACIÓN DEL LOCAL ESCOLAR JOSÉ CAYETANO HEREDIA CON CÓDIGO LOCAL 413576, DISTRITO DE CATACAOS, PROVINCIA DE PIURA, REGIÓN PIURA</t>
  </si>
  <si>
    <t>LOCAL ESCOLAR N° 15027 AMAUTA</t>
  </si>
  <si>
    <t>REHABILITACIÓN DEL LOCAL ESCOLAR N° 15027 AMAUTA CON CÓDIGO LOCAL 435272, DISTRITO DE SULLANA, PROVINCIA DE SULLANA, REGIÓN PIURA</t>
  </si>
  <si>
    <t>LOCAL ESCOLAR N°517 - SULLANA</t>
  </si>
  <si>
    <t>REHABILITACION DEL LOCAL ESCOLAR N°517 CON CÓDIGO LOCAL 435106 DISTRITO DE SULLANA, PROVINCIA DE SULLANA, REGIÓN PIURA.</t>
  </si>
  <si>
    <t>LOCAL ESCOLAR Nº 14064 - LA UNION</t>
  </si>
  <si>
    <t>REHABILITACIÓN DEL LOCAL ESCOLAR Nº 14064 CON CÓDIGO LOCAL 414694, DISTRITO DE LA UNIÓN, PROVINCIA DE PIURA, REGIÓN PIURA</t>
  </si>
  <si>
    <t>LOCAL ESCOLAR N° 14032 MARÍA AUXILIADORA</t>
  </si>
  <si>
    <t>REHABILITACIÓN DEL LOCAL ESCOLAR N° 14032 MARÍA AUXILIADORA CON CÓDIGO LOCAL 413326, DISTRITO DE CATACAOS, PROVINCIA DE PIURA, REGIÓN PIURA</t>
  </si>
  <si>
    <t>LOCAL EDUCATIVO CON CÓDIGO DE LOCAL 040609 - LOMA</t>
  </si>
  <si>
    <t>IRI EN EL LOCAL EDUCATIVO CON CÓDIGO DE LOCAL 040609</t>
  </si>
  <si>
    <t>En Definición estrategia (Sin Recursos)</t>
  </si>
  <si>
    <t>LOCAL EDUCATIVO CON CÓDIGO DE LOCAL 040534 - PATAPATA</t>
  </si>
  <si>
    <t>IRI EN LOCAL EDUCATIVO CON CÓDIGO DE LOCAL 040534</t>
  </si>
  <si>
    <t>Estado del proyecto</t>
  </si>
  <si>
    <t># Proyectos</t>
  </si>
  <si>
    <t>Total general</t>
  </si>
  <si>
    <t>Nombre Proyecto</t>
  </si>
  <si>
    <t>Total proyectos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</si>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</sst>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rgb="FF000000"/>
      <name val="Calibri"/>
      <family val="2"/>
    </font>
    <font>
      <sz val="9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1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9" fontId="2" fillId="5" borderId="1" xfId="1" applyFont="1" applyFill="1" applyBorder="1" applyAlignment="1">
      <alignment horizontal="center" vertical="center" wrapText="1"/>
    </xf>
    <xf numFmtId="9" fontId="0" fillId="6" borderId="1" xfId="1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center" vertical="center" wrapText="1"/>
    </xf>
    <xf numFmtId="10" fontId="4" fillId="6" borderId="1" xfId="0" applyNumberFormat="1" applyFont="1" applyFill="1" applyBorder="1" applyAlignment="1">
      <alignment horizontal="center"/>
    </xf>
    <xf numFmtId="14" fontId="5" fillId="5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/>
    </xf>
    <xf numFmtId="3" fontId="2" fillId="8" borderId="1" xfId="0" applyNumberFormat="1" applyFont="1" applyFill="1" applyBorder="1" applyAlignment="1">
      <alignment horizontal="center" vertical="center" wrapText="1"/>
    </xf>
    <xf numFmtId="164" fontId="0" fillId="9" borderId="1" xfId="0" applyNumberFormat="1" applyFill="1" applyBorder="1" applyAlignment="1">
      <alignment horizontal="center" vertical="center"/>
    </xf>
    <xf numFmtId="43" fontId="0" fillId="9" borderId="1" xfId="0" applyNumberFormat="1" applyFill="1" applyBorder="1" applyAlignment="1">
      <alignment horizontal="center" vertical="center"/>
    </xf>
    <xf numFmtId="165" fontId="0" fillId="9" borderId="1" xfId="1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 applyAlignment="1">
      <alignment horizontal="right" vertical="center"/>
    </xf>
    <xf numFmtId="0" fontId="6" fillId="1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10" borderId="1" xfId="0" applyFont="1" applyFill="1" applyBorder="1" applyAlignment="1">
      <alignment horizontal="center" vertical="center"/>
    </xf>
    <xf numFmtId="14" fontId="2" fillId="1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1" xfId="0" applyFont="1" applyBorder="1"/>
    <xf numFmtId="14" fontId="2" fillId="12" borderId="2" xfId="0" applyNumberFormat="1" applyFont="1" applyFill="1" applyBorder="1" applyAlignment="1">
      <alignment horizontal="center" vertical="center" wrapText="1"/>
    </xf>
    <xf numFmtId="14" fontId="2" fillId="12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N" refreshedDate="46113.528499884262" createdVersion="8" refreshedVersion="8" minRefreshableVersion="3" recordCount="76" xr:uid="{557B80F3-206C-4C94-A084-E52B7AEFBABC}">
  <cacheSource type="worksheet">
    <worksheetSource ref="B3:L79" sheet="Anexo 1"/>
  </cacheSource>
  <cacheFields count="11">
    <cacheField name="CUI / ÍDEA" numFmtId="1">
      <sharedItems containsSemiMixedTypes="0" containsString="0" containsNumber="1" containsInteger="1" minValue="2428577" maxValue="2515636"/>
    </cacheField>
    <cacheField name="NOMBRE CORTO" numFmtId="0">
      <sharedItems/>
    </cacheField>
    <cacheField name="NOMBRE DE LA INVERSIÓN" numFmtId="0">
      <sharedItems longText="1"/>
    </cacheField>
    <cacheField name="DEPARTAMENTO" numFmtId="0">
      <sharedItems/>
    </cacheField>
    <cacheField name="ESTADO INTERNO" numFmtId="0">
      <sharedItems count="3">
        <s v="Culminado"/>
        <s v="Ejecución Obra"/>
        <s v="En Definición estrategia (Sin Recursos)"/>
      </sharedItems>
    </cacheField>
    <cacheField name="% DE AVANCE DISEÑO" numFmtId="9">
      <sharedItems containsSemiMixedTypes="0" containsString="0" containsNumber="1" containsInteger="1" minValue="0" maxValue="1"/>
    </cacheField>
    <cacheField name="(%) DE AVANCE FÍSICO DE OBRA" numFmtId="10">
      <sharedItems containsSemiMixedTypes="0" containsString="0" containsNumber="1" minValue="0" maxValue="1"/>
    </cacheField>
    <cacheField name="Culminados/Entregados Fecha" numFmtId="0">
      <sharedItems containsNonDate="0" containsDate="1" containsString="0" containsBlank="1" minDate="2022-01-25T00:00:00" maxDate="2026-08-13T00:00:00"/>
    </cacheField>
    <cacheField name="COSTO ACTUALIZADO" numFmtId="164">
      <sharedItems containsSemiMixedTypes="0" containsString="0" containsNumber="1" containsInteger="1" minValue="8814684" maxValue="159432352"/>
    </cacheField>
    <cacheField name="DEVENGADO ACUMULADO" numFmtId="43">
      <sharedItems containsSemiMixedTypes="0" containsString="0" containsNumber="1" minValue="96200" maxValue="156162406.38"/>
    </cacheField>
    <cacheField name="Avance Financiero" numFmtId="165">
      <sharedItems containsSemiMixedTypes="0" containsString="0" containsNumber="1" minValue="2.9640318128733387E-3" maxValue="0.997714525694476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n v="2503451"/>
    <s v="LOCAL ESCOLAR N° 1639 - CHEPEN"/>
    <s v="REHABILITACIÓN DEL LOCAL ESCOLAR N° 1639 CON CÓDIGO LOCAL 258882, DISTRITO DE CHEPÉN, PROVINCIA DE CHEPÉN, REGIÓN LA LIBERTAD"/>
    <s v="LA LIBERTAD"/>
    <x v="0"/>
    <n v="1"/>
    <n v="1"/>
    <d v="2022-03-25T00:00:00"/>
    <n v="8814684"/>
    <n v="8385451.4500000002"/>
    <n v="0.95130482839770547"/>
  </r>
  <r>
    <n v="2503352"/>
    <s v="LOCAL ESCOLAR N° 80892 LOS PINOS"/>
    <s v="REHABILITACIÓN DEL LOCAL ESCOLAR N° 80892 LOS PINOS CON CÓDIGO LOCAL 249982, DISTRITO DE TRUJILLO, PROVINCIA DE TRUJILLO, REGIÓN LA LIBERTAD"/>
    <s v="LA LIBERTAD"/>
    <x v="0"/>
    <n v="1"/>
    <n v="1"/>
    <d v="2022-10-27T00:00:00"/>
    <n v="26705417"/>
    <n v="26135395.579999998"/>
    <n v="0.97865521365946084"/>
  </r>
  <r>
    <n v="2503615"/>
    <s v="LOCAL ESCOLAR N° 80669 - SAN JOSÉ"/>
    <s v="REHABILITACIÓN DEL LOCAL ESCOLAR N° 80669 CON CÓDIGO LOCAL 265953, DISTRITO DE SAN JOSÉ, PROVINCIA DE PACASMAYO, REGIÓN LA LIBERTAD"/>
    <s v="LA LIBERTAD"/>
    <x v="0"/>
    <n v="1"/>
    <n v="1"/>
    <d v="2022-10-18T00:00:00"/>
    <n v="26596119"/>
    <n v="26088772.050000001"/>
    <n v="0.98092402316292837"/>
  </r>
  <r>
    <n v="2503220"/>
    <s v="LOCAL ESCOLAR N° 80382 CARLOS A. OLIVARES"/>
    <s v="REHABILITACIÓN DEL LOCAL ESCOLAR N° 80382 CARLOS A. OLIVARES CON CÓDIGO LOCAL 258783, DISTRITO DE CHEPÉN, PROVINCIA DE CHEPÉN, REGIÓN LA LIBERTAD"/>
    <s v="LA LIBERTAD"/>
    <x v="0"/>
    <n v="1"/>
    <n v="1"/>
    <d v="2022-08-11T00:00:00"/>
    <n v="32660182"/>
    <n v="31781838.010000002"/>
    <n v="0.97310658005518769"/>
  </r>
  <r>
    <n v="2502300"/>
    <s v="LOCAL ESCOLAR N° 88014 JOSE OLAYA"/>
    <s v="REHABILITACIÓN DEL LOCAL ESCOLAR N° 88014 JOSE OLAYA CON CÓDIGO LOCAL 034284, DISTRITO DE CHIMBOTE, PROVINCIA SANTA, REGIÓN ANCASH."/>
    <s v="ANCASH"/>
    <x v="0"/>
    <n v="1"/>
    <n v="1"/>
    <d v="2022-03-12T00:00:00"/>
    <n v="78941147"/>
    <n v="74192186.049999997"/>
    <n v="0.93984175388280078"/>
  </r>
  <r>
    <n v="2503217"/>
    <s v="LOCAL ESCOLAR N° 88104 MARÍA PARADO DE BELLIDO"/>
    <s v="REHABILITACIÓN DEL LOCAL ESCOLAR N° 88104 MARÍA PARADO DE BELLIDO CON CÓDIGO LOCAL 022177, DISTRITO DE CASMA, PROVINCIA DE CASMA, DEPARTAMENTO DE ANCASH"/>
    <s v="ANCASH"/>
    <x v="0"/>
    <n v="1"/>
    <n v="1"/>
    <d v="2022-01-25T00:00:00"/>
    <n v="29563433"/>
    <n v="27216452.02"/>
    <n v="0.92061202837978928"/>
  </r>
  <r>
    <n v="2503208"/>
    <s v="LOCAL ESCOLAR N° 1556 ANGELITOS DE JESÚS "/>
    <s v="REHABILITACIÓN DEL LOCAL ESCOLAR N° 1556 ANGELITOS DE JESÚS CON CÓDIGO LOCAL 022016, DISTRITO DE CASMA, PROVINCIA DE CASMA, REGIÓN DE ANCASH"/>
    <s v="ANCASH"/>
    <x v="0"/>
    <n v="1"/>
    <n v="1"/>
    <d v="2022-03-24T00:00:00"/>
    <n v="20548687"/>
    <n v="19765770.120000001"/>
    <n v="0.96189942062964906"/>
  </r>
  <r>
    <n v="2428685"/>
    <s v="LOCAL ESCOLAR N° 88232 NUESTRA VIRGEN MARIA"/>
    <s v="IRI EN LOCAL EDUCATIVO CON CÓDIGO DE LOCAL 34062"/>
    <s v="ANCASH"/>
    <x v="0"/>
    <n v="1"/>
    <n v="1"/>
    <d v="2022-03-29T00:00:00"/>
    <n v="23744895"/>
    <n v="22676744.620000001"/>
    <n v="0.95501557787473901"/>
  </r>
  <r>
    <n v="2503624"/>
    <s v="LOCAL ESCOLAR N° 88331 - SANTA"/>
    <s v="REHABILITACIÓN DEL LOCAL ESCOLAR N° 88331  CON CÓDIGO LOCAL 037541, DISTRITO DE SANTA, PROVINCIA DE SANTA, REGIÓN ANCASH"/>
    <s v="ANCASH"/>
    <x v="0"/>
    <n v="1"/>
    <n v="1"/>
    <d v="2022-03-29T00:00:00"/>
    <n v="25754537"/>
    <n v="23972813.18"/>
    <n v="0.93081903122544973"/>
  </r>
  <r>
    <n v="2503752"/>
    <s v="LOCAL ESCOLAR N° 89008 ANDRÉS AVELINO CÁCERES"/>
    <s v="REHABILITACIÓN DEL LOCAL ESCOLAR N° 89008 ANDRÉS AVELINO CÁCERES CON CÓDIGO LOCAL 034665, DISTRITO DE CHIMBOTE, PROVINCIA DE SANTA, REGIÓN ANCASH"/>
    <s v="ANCASH"/>
    <x v="0"/>
    <n v="1"/>
    <n v="1"/>
    <d v="2022-04-04T00:00:00"/>
    <n v="21905486"/>
    <n v="19798916.370000001"/>
    <n v="0.90383369581482931"/>
  </r>
  <r>
    <n v="2503356"/>
    <s v="LOCAL ESCOLAR N° 88227 PEDRO PABLO ATUSPARIA"/>
    <s v="REHABILITACIÓN DEL LOCAL ESCOLAR N° 88227 PEDRO PABLO ATUSPARIA  CON CÓDIGO LOCAL 037923, DISTRITO DE NUEVO CHIMBOTE, PROVINCIA DE SANTA, REGIÓN ANCASH"/>
    <s v="ANCASH"/>
    <x v="0"/>
    <n v="1"/>
    <n v="1"/>
    <d v="2022-04-11T00:00:00"/>
    <n v="41901048"/>
    <n v="38705423.299999997"/>
    <n v="0.92373401495828933"/>
  </r>
  <r>
    <n v="2503218"/>
    <s v="LOCAL ESCOLAR N° 88100 INMACULADA CONCEPCIÓN"/>
    <s v="REHABILITACIÓN DEL LOCAL ESCOLAR N° 88100 INMACULADA CONCEPCIÓN CON CÓDIGO LOCAL 022144, DISTRITO DE CASMA, PROVINCIA DE CASMA, REGIÓN ANCASH"/>
    <s v="ANCASH"/>
    <x v="0"/>
    <n v="1"/>
    <n v="1"/>
    <d v="2022-04-28T00:00:00"/>
    <n v="44344594"/>
    <n v="40908918.780000001"/>
    <n v="0.92252324556179277"/>
  </r>
  <r>
    <n v="2503353"/>
    <s v="LOCAL ESCOLAR N° 88037 ANTENOR SÁNCHEZ"/>
    <s v="REHABILITACIÓN DEL LOCAL ESCOLAR N° 88037 ANTENOR SÁNCHEZ CON CÓDIGO LOCAL 034420, DISTRITO DE CHIMBOTE, PROVINCIA DE SANTA, REGIÓN ANCASH"/>
    <s v="ANCASH"/>
    <x v="0"/>
    <n v="1"/>
    <n v="1"/>
    <d v="2022-05-11T00:00:00"/>
    <n v="55759889"/>
    <n v="51494527.450000003"/>
    <n v="0.92350484144615141"/>
  </r>
  <r>
    <n v="2503757"/>
    <s v="LOCAL ESCOLAR N° 88034 PEDRO RUIZ GALLO"/>
    <s v="REHABILITACIÓN DEL LOCAL ESCOLAR N° 88034 PEDRO RUIZ GALLO CON CÓDIGO LOCAL 034401, DISTRITO DE CHIMBOTE, PROVINCIA DE SANTA, REGIÓN ANCASH"/>
    <s v="ANCASH"/>
    <x v="0"/>
    <n v="1"/>
    <n v="1"/>
    <d v="2022-05-17T00:00:00"/>
    <n v="33844011"/>
    <n v="32095476.899999999"/>
    <n v="0.94833549427696373"/>
  </r>
  <r>
    <n v="2502654"/>
    <s v="LOCAL ESCOLAR N° 11057 SAN LORENZO"/>
    <s v="REHABILITACIÓN DEL LOCAL ESCOLAR N° 11057 SAN LORENZO CON CÓDIGO LOCAL 278724, DISTRITO DE JOSÉ LEONARDO ORTIZ, PROVINCIA DE CHICLAYO, REGIÓN LAMBAYEQUE"/>
    <s v="LAMBAYEQUE"/>
    <x v="0"/>
    <n v="1"/>
    <n v="1"/>
    <d v="2022-08-12T00:00:00"/>
    <n v="55113156"/>
    <n v="53542717.119999997"/>
    <n v="0.97150519052111617"/>
  </r>
  <r>
    <n v="2503010"/>
    <s v="LOCAL ESCOLAR N° 11011 SEÑOR DE LOS MILAGROS"/>
    <s v="REHABILITACIÓN DEL LOCAL ESCOLAR N° 11011 SEÑOR DE LOS MILAGROS CON CÓDIGO LOCAL 278516, DISTRITO DE JOSE LEONARDO ORTIZ, PROVINCIA DE CHICLAYO, REGIÓN LAMBAYEQUE"/>
    <s v="LAMBAYEQUE"/>
    <x v="0"/>
    <n v="1"/>
    <n v="1"/>
    <d v="2022-08-11T00:00:00"/>
    <n v="35796698"/>
    <n v="34279573.399999999"/>
    <n v="0.95761830881719867"/>
  </r>
  <r>
    <n v="2502990"/>
    <s v="LOCAL ESCOLAR MARIANO MELGAR VALDIVIEZO"/>
    <s v="REHABILITACIÓN DEL LOCAL ESCOLAR MARIANO MELGAR VALDIVIEZO CON CÓDIGO LOCAL 673705, DISTRITO DE JOSE LEONARDO ORTIZ, PROVINCIA DE CHICLAYO, REGIÓN LAMBAYEQUE"/>
    <s v="LAMBAYEQUE"/>
    <x v="0"/>
    <n v="1"/>
    <n v="1"/>
    <d v="2022-08-16T00:00:00"/>
    <n v="28696904"/>
    <n v="27710290.379999999"/>
    <n v="0.96561951003495006"/>
  </r>
  <r>
    <n v="2503006"/>
    <s v="LOCAL ESCOLAR CEBA – SAN JUAN"/>
    <s v="REHABILITACIÓN DEL LOCAL ESCOLAR CEBA – SAN JUAN CON CÓDIGO LOCAL 284094, DISTRITO DE ILLIMO, PROVINCIA DE LAMBAYEQUE, REGIÓN LAMBAYEQUE"/>
    <s v="LAMBAYEQUE"/>
    <x v="0"/>
    <n v="1"/>
    <n v="1"/>
    <d v="2022-09-23T00:00:00"/>
    <n v="42304101"/>
    <n v="40960074.960000001"/>
    <n v="0.96822941492126258"/>
  </r>
  <r>
    <n v="2502989"/>
    <s v="LOCAL ESCOLAR N° 10945 HEROÍNA MARÍA PARADO DE BELLIDO"/>
    <s v="REHABILITACIÓN DEL LOCAL ESCOLAR N° 10945 HEROÍNA MARÍA PARADO DE BELLIDO CON CÓDIGO LOCAL 278696, DISTRITO DE JOSÉ LEONARDO ORTIZ, PROVINCIA DE CHICLAYO, REGIÓN LAMBAYEQUE"/>
    <s v="LAMBAYEQUE"/>
    <x v="0"/>
    <n v="1"/>
    <n v="1"/>
    <d v="2022-07-07T00:00:00"/>
    <n v="25792165"/>
    <n v="24712377.27"/>
    <n v="0.9581350487638397"/>
  </r>
  <r>
    <n v="2502861"/>
    <s v="LOCAL ESCOLAR N 094 SOTERITO LÓPEZ ESPINOZA"/>
    <s v="REHABILITACIÓN DEL LOCAL ESCOLAR N 094 SOTERITO LÓPEZ ESPINOZA CON CÓDIGO LOCAL 492583, DISTRITO DE ZARUMILLA, PROVINCIA DE ZARUMILLA, REGIÓN TUMBES."/>
    <s v="TUMBES"/>
    <x v="0"/>
    <n v="1"/>
    <n v="1"/>
    <d v="2022-09-13T00:00:00"/>
    <n v="40703979"/>
    <n v="38214185.799999997"/>
    <n v="0.93883169996721938"/>
  </r>
  <r>
    <n v="2502855"/>
    <s v="LOCAL ESCOLAR N° 005 TARCILLA DE JESÚS GRANDA MORA"/>
    <s v="REHABILITACION DEL LOCAL ESCOLAR N° 005 TARCILLA DE JESÚS GRANDA MORA CON CÓDIGO DE LOCAL 490193, DISTRITO DE TUMBES, PROVINCIA DE TUMBES, REGIÓN TUMBES"/>
    <s v="TUMBES"/>
    <x v="0"/>
    <n v="1"/>
    <n v="1"/>
    <d v="2022-09-13T00:00:00"/>
    <n v="19486288"/>
    <n v="18349955.579999998"/>
    <n v="0.94168553702993607"/>
  </r>
  <r>
    <n v="2513468"/>
    <s v="LOCAL ESCOLAR N° 88106 JOSÉ CARLOS MARIÁTEGUI"/>
    <s v="REHABILITACIÓN DEL LOCAL ESCOLAR N° 88106 JOSÉ CARLOS MARIÁTEGUI CON CÓDIGO LOCAL Nº 025944, DISTRITO DE HUARMEY, PROVINCIA DE HUARMEY, DEPARTAMENTO DE ANCASH"/>
    <s v="ANCASH"/>
    <x v="0"/>
    <n v="1"/>
    <n v="1"/>
    <d v="2023-08-27T00:00:00"/>
    <n v="82665704"/>
    <n v="72611579.099999994"/>
    <n v="0.87837610504109409"/>
  </r>
  <r>
    <n v="2428736"/>
    <s v="LOCAL EDUCATIVO N° 88336 GASTON VIDAL PORTURAS"/>
    <s v="IRI EN EL LOCAL EDUCATIVO CON CÓDIGO DE LOCAL 37961"/>
    <s v="ANCASH"/>
    <x v="0"/>
    <n v="1"/>
    <n v="1"/>
    <d v="2024-03-07T00:00:00"/>
    <n v="83696895"/>
    <n v="82590655.25"/>
    <n v="0.9867827862670413"/>
  </r>
  <r>
    <n v="2428729"/>
    <s v="LOCAL EDUCATIVO 88301 - PAMPAROMAS"/>
    <s v="IRI EN EL LOCAL EDUCATIVO CON CÓDIGO DE LOCAL 27698"/>
    <s v="ANCASH"/>
    <x v="0"/>
    <n v="1"/>
    <n v="1"/>
    <d v="2024-12-04T00:00:00"/>
    <n v="82529029"/>
    <n v="78824568.399999991"/>
    <n v="0.95511324142684373"/>
  </r>
  <r>
    <n v="2513471"/>
    <s v="LOCAL ESCOLAR N° 89001 - EX PREVOCACIONAL -CHIMBOTE_x000a_"/>
    <s v="REHABILITACIÓN DEL LOCAL ESCOLAR N° 89001 CON CÓDIGO LOCAL Nº 034613, DISTRITO DE CHIMBOTE, PROVINCIA DE SANTA, DEPARTAMENTO DE ANCASH"/>
    <s v="ANCASH"/>
    <x v="0"/>
    <n v="1"/>
    <n v="1"/>
    <d v="2024-12-19T00:00:00"/>
    <n v="72417925"/>
    <n v="68265549.99000001"/>
    <n v="0.9426609501722123"/>
  </r>
  <r>
    <n v="2513466"/>
    <s v="LOCAL ESCOLAR N° 88023 MIGUEL GRAU"/>
    <s v="REHABILITACIÓN DEL LOCAL ESCOLAR N° 88023 ALMIRANTE MIGUEL GRAU SEMINARIO CON CÓDIGO LOCAL Nº 034340, DISTRITO DE CHIMBOTE, PROVINCIA DE SANTA, DEPARTAMENTO ANCASH"/>
    <s v="ANCASH"/>
    <x v="0"/>
    <n v="1"/>
    <n v="1"/>
    <d v="2025-08-26T00:00:00"/>
    <n v="80452371"/>
    <n v="71684486.50999999"/>
    <n v="0.89101769927949037"/>
  </r>
  <r>
    <n v="2513024"/>
    <s v="LOCAL ESCOLAR N° 84156 - SAN NICOLAS"/>
    <s v="RECUPERACIÓN DEL LOCAL ESCOLAR N° 84156 CON CÓDIGO DE LOCAL 021639, DISTRITO DE SAN NICOLAS, PROVINCIA DE CARLOS FERMÍN FITZCARRALD, DEPARTAMENTO ANCASH"/>
    <s v="ANCASH"/>
    <x v="1"/>
    <n v="1"/>
    <n v="0.91959999999999997"/>
    <d v="2026-07-02T00:00:00"/>
    <n v="83151527"/>
    <n v="69692956.149999991"/>
    <n v="0.83814403252029268"/>
  </r>
  <r>
    <n v="2428726"/>
    <s v="LOCAL EDUCATIVO 86499 LUIS TORRES SALAZAR - HUATA"/>
    <s v="IRI EN LOCAL EDUCATIVO CON CÓDIGO DE LOCAL 027151"/>
    <s v="ANCASH"/>
    <x v="1"/>
    <n v="1"/>
    <n v="0.68579999999999997"/>
    <d v="2026-08-06T00:00:00"/>
    <n v="68214215"/>
    <n v="52693600.730000004"/>
    <n v="0.77247243452116254"/>
  </r>
  <r>
    <n v="2513467"/>
    <s v="LOCAL ESCOLAR N° 86127 - PARIACOTO"/>
    <s v="REHABILITACIÓN DEL LOCAL ESCOLAR N° 86127 CON CÓDIGO LOCAL Nº 017246, DISTRITO DE PARIACOTO, PROVINCIA DE HUARAZ, DEPARTAMENTO DE ANCASH"/>
    <s v="ANCASH"/>
    <x v="1"/>
    <n v="1"/>
    <n v="0.80979999999999996"/>
    <d v="2026-08-12T00:00:00"/>
    <n v="75801159"/>
    <n v="59460286.920000002"/>
    <n v="0.78442450886535919"/>
  </r>
  <r>
    <n v="2428687"/>
    <s v="LOCAL EDUCATIVO 821356 - JOSE SABOGAL"/>
    <s v="IRI EN EL LOCAL EDUCATIVO CON CÓDIGO DE LOCAL 575917"/>
    <s v="CAJAMARCA"/>
    <x v="0"/>
    <n v="1"/>
    <n v="1"/>
    <d v="2024-03-06T00:00:00"/>
    <n v="44817332"/>
    <n v="44188119.719999999"/>
    <n v="0.98596051456164324"/>
  </r>
  <r>
    <n v="2428669"/>
    <s v="LOCAL EDUCATIVO 82323 - CONDEBAMBA"/>
    <s v="IRI EN LOCAL EDUCATIVO CON CÓDIGO DE LOCAL 100844"/>
    <s v="CAJAMARCA"/>
    <x v="0"/>
    <n v="1"/>
    <n v="1"/>
    <d v="2024-12-17T00:00:00"/>
    <n v="66047267"/>
    <n v="59725776.829999998"/>
    <n v="0.9042883913728027"/>
  </r>
  <r>
    <n v="2428577"/>
    <s v="LOCAL EDUCATIVO 81534 - SANTIAGO DE CAO"/>
    <s v="IRI EN LOCAL EDUCATIVO CON CÓDIGO DE LOCAL 257298"/>
    <s v="LA LIBERTAD"/>
    <x v="0"/>
    <n v="1"/>
    <n v="1"/>
    <d v="2023-10-04T00:00:00"/>
    <n v="46616227"/>
    <n v="42926981.640000008"/>
    <n v="0.92085920295522861"/>
  </r>
  <r>
    <n v="2428652"/>
    <s v="LOCAL EDUCATIVO CASA GRANDE"/>
    <s v="IRI EN LOCAL EDUCATIVO CON CÓDIGO DE LOCAL 257528"/>
    <s v="LA LIBERTAD"/>
    <x v="0"/>
    <n v="1"/>
    <n v="1"/>
    <d v="2024-08-31T00:00:00"/>
    <n v="81584795"/>
    <n v="77448409.139999986"/>
    <n v="0.94929954950551731"/>
  </r>
  <r>
    <n v="2428716"/>
    <s v="LOCAL EDUCATIVO 14037 SANTIAGO A REQUENA CASTRO"/>
    <s v="IRI EN LOCAL EDUCATIVO CON CÓDIGO DE LOCAL 413350"/>
    <s v="PIURA"/>
    <x v="0"/>
    <n v="1"/>
    <n v="1"/>
    <d v="2023-06-23T00:00:00"/>
    <n v="42378882"/>
    <n v="42124326.389999993"/>
    <n v="0.99399333823860647"/>
  </r>
  <r>
    <n v="2428581"/>
    <s v="LOCAL EDUCATIVO 14065 - LA UNION"/>
    <s v="IRI EN LOCAL EDUCATIVO CON CÓDIGO DE LOCAL 414707"/>
    <s v="PIURA"/>
    <x v="0"/>
    <n v="1"/>
    <n v="1"/>
    <d v="2024-02-29T00:00:00"/>
    <n v="40712821"/>
    <n v="40389146.559999995"/>
    <n v="0.99204981546230842"/>
  </r>
  <r>
    <n v="2513475"/>
    <s v="LOCAL ESCOLAR MARÍA AUXILIADORA"/>
    <s v="REHABILITACIÓN DEL LOCAL ESCOLAR MARÍA AUXILIADORA CON CÓDIGO LOCAL Nº 430284, DISTRITO DE CHULUCANAS, PROVINCIA DE MORROPON, DEPARTAMENTO DE PIURA"/>
    <s v="PIURA"/>
    <x v="0"/>
    <n v="1"/>
    <n v="1"/>
    <d v="2024-02-29T00:00:00"/>
    <n v="67120255"/>
    <n v="66593942.829999998"/>
    <n v="0.99215866849731127"/>
  </r>
  <r>
    <n v="2428627"/>
    <s v="LOCAL EDUCATIVO RICARDO PALMA"/>
    <s v="IRI EN LOCAL EDUCATIVO CON CÓDIGO DE LOCAL 434927"/>
    <s v="PIURA"/>
    <x v="0"/>
    <n v="1"/>
    <n v="1"/>
    <d v="2024-02-26T00:00:00"/>
    <n v="42257348"/>
    <n v="39578545.859999999"/>
    <n v="0.93660742411000331"/>
  </r>
  <r>
    <n v="2428578"/>
    <s v="LOCAL EDUCATIVO VIRGEN DEL CARMEN"/>
    <s v="IRI EN LOCAL EDUCATIVO CON CÓDIGO DE LOCAL 413307"/>
    <s v="PIURA"/>
    <x v="0"/>
    <n v="1"/>
    <n v="1"/>
    <d v="2024-04-23T00:00:00"/>
    <n v="50159868"/>
    <n v="49432920.810000002"/>
    <n v="0.98550739427783185"/>
  </r>
  <r>
    <n v="2513474"/>
    <s v="LOCAL ESCOLAR Nº 14654 - SALITRAL"/>
    <s v="REHABILITACIÓN DEL LOCAL ESCOLAR Nº 14654 CON CÓDIGO LOCAL Nº 432184, DISTRITO DE SALITRAL, PROVINCIA DE MORROPON, DEPARTAMENTO DE PIURA"/>
    <s v="PIURA"/>
    <x v="0"/>
    <n v="1"/>
    <n v="1"/>
    <d v="2024-05-27T00:00:00"/>
    <n v="46676328"/>
    <n v="46401240.300000004"/>
    <n v="0.99410648369768939"/>
  </r>
  <r>
    <n v="2428585"/>
    <s v="LOCAL EDUCATIVO 14010 MIGUEL F. CERRO-VICE"/>
    <s v="IRI EN LOCAL EDUCATIVO CON CÓDIGO DE LOCAL 440773"/>
    <s v="PIURA"/>
    <x v="0"/>
    <n v="1"/>
    <n v="1"/>
    <d v="2024-06-25T00:00:00"/>
    <n v="53283791"/>
    <n v="52936200.86999999"/>
    <n v="0.9934766253774997"/>
  </r>
  <r>
    <n v="2428584"/>
    <s v="LOCAL EDUCATIVO N° 14858 - MIGUEL CHECA"/>
    <s v="IRI EN EL LOCAL EDUCATIVO CON CÓDIGO DE LOCAL 437775"/>
    <s v="PIURA"/>
    <x v="0"/>
    <n v="1"/>
    <n v="1"/>
    <d v="2024-07-22T00:00:00"/>
    <n v="57114555"/>
    <n v="55635910.409999996"/>
    <n v="0.97411089712596022"/>
  </r>
  <r>
    <n v="2428635"/>
    <s v="LOCAL EDUCATIVO IGNACIO MERINO - PARIÑAS"/>
    <s v="IRI EN LOCAL EDUCATIVO CON CÓDIGO DE LOCAL 438614"/>
    <s v="PIURA"/>
    <x v="0"/>
    <n v="1"/>
    <n v="1"/>
    <d v="2024-12-05T00:00:00"/>
    <n v="115938381"/>
    <n v="108167858.76000002"/>
    <n v="0.9329771368810128"/>
  </r>
  <r>
    <n v="2428588"/>
    <s v="LOCAL EDUCATIVO N° 14062 NUESTRA SEÑORA DE LAS MERCEDES"/>
    <s v="IRI EN LOCAL EDUCATIVO CON CÓDIGO DE LOCAL 770240"/>
    <s v="PIURA"/>
    <x v="0"/>
    <n v="1"/>
    <n v="1"/>
    <d v="2024-12-27T00:00:00"/>
    <n v="87858100"/>
    <n v="86586572.63000001"/>
    <n v="0.98552748841597992"/>
  </r>
  <r>
    <n v="2513470"/>
    <s v="LOCAL ESCOLAR SAN CRISTO"/>
    <s v="REHABILITACIÓN DEL LOCAL ESCOLAR SAN CRISTO CON CÓDIGO LOCAL Nº 440688, DISTRITO DE CRISTO NOS VALGA, PROVINCIA DE SECHURA, DEPARTAMENTO DE PIURA"/>
    <s v="PIURA"/>
    <x v="0"/>
    <n v="1"/>
    <n v="1"/>
    <d v="2025-08-22T00:00:00"/>
    <n v="121564713"/>
    <n v="113750311.95"/>
    <n v="0.93571817958390613"/>
  </r>
  <r>
    <n v="2515005"/>
    <s v="LOCAL ESCOLAR N° 1563 CRISTO REY AMIGO DE LOS NIÑOS"/>
    <s v="REHABILITACIÓN DEL LOCAL ESCOLAR N° 1563 CRISTO REY AMIGO DE LOS NIÑOS CON CÓDIGO DE LOCAL 037701, DISTRITO DE NUEVO CHIMBOTE, PROVINCIA DE SANTA, DEPARTAMENTO ANCASH"/>
    <s v="ANCASH"/>
    <x v="0"/>
    <n v="1"/>
    <n v="1"/>
    <d v="2023-06-21T00:00:00"/>
    <n v="21698603"/>
    <n v="21453729.59"/>
    <n v="0.98871478454165918"/>
  </r>
  <r>
    <n v="2428689"/>
    <s v="LOCAL EDUCATIVO SAN JUAN"/>
    <s v="IRI EN LOCAL EDUCATIVO CON CÓDIGO DE LOCAL 034547"/>
    <s v="ANCASH"/>
    <x v="0"/>
    <n v="1"/>
    <n v="1"/>
    <d v="2024-05-25T00:00:00"/>
    <n v="68659923"/>
    <n v="67686743.549999997"/>
    <n v="0.98582609173622282"/>
  </r>
  <r>
    <n v="2514106"/>
    <s v="LOCAL ESCOLAR VILLA MARÍA"/>
    <s v="REHABILITACIÓN DEL LOCAL ESCOLAR VILLA MARÍA CON CÓDIGO LOCAL Nº 037999, DISTRITO DE NUEVO CHIMBOTE, PROVINCIA DE SANTA, DEPARTAMENTO DE ANCASH"/>
    <s v="ANCASH"/>
    <x v="0"/>
    <n v="1"/>
    <n v="1"/>
    <d v="2024-05-25T00:00:00"/>
    <n v="91931900"/>
    <n v="91367794.760000005"/>
    <n v="0.99386387924104691"/>
  </r>
  <r>
    <n v="2428686"/>
    <s v="LOCAL EDUCATIVO APOSTOL SAN PEDRO"/>
    <s v="IRI EN LOCAL EDUCATIVO CON CÓDIGO DE LOCAL 034397"/>
    <s v="ANCASH"/>
    <x v="0"/>
    <n v="1"/>
    <n v="1"/>
    <d v="2024-10-09T00:00:00"/>
    <n v="79501570"/>
    <n v="77008561.010000005"/>
    <n v="0.96864201562308772"/>
  </r>
  <r>
    <n v="2515636"/>
    <s v="LOCAL ESCOLAR N° 86625 - ANGELICA HARADA VASQUEZ"/>
    <s v="REHABILITACION DE AMBIENTE DE ADMINISTRACION Y/O GESTION PEDAGOGICA Y DE MOBILIARIO DE AULA Y DE EQUIPAMIENTO DE AULA Y DE MODULO DE ATENCION TEMPORAL, EN EL(LA) 86625 ANGELICA HARADA VASQUEZ - YUNGAY, AURA DEL DISTRITO DE YUNGAY - PROVINCIA DE YUNGAY - DEPARTAMENTO DE ANCASH  "/>
    <s v="ANCASH"/>
    <x v="0"/>
    <n v="1"/>
    <n v="1"/>
    <d v="2024-12-12T00:00:00"/>
    <n v="82596178"/>
    <n v="77381042.24000001"/>
    <n v="0.93685984162608604"/>
  </r>
  <r>
    <n v="2513476"/>
    <s v="LOCAL ESCOLAR N° 86620 SANTA FE"/>
    <s v="REHABILITACIÓN DEL LOCAL ESCOLAR N° 86620 SANTA FE CON CÓDIGO LOCAL Nº 040647, DISTRITO DE YUNGAY, PROVINCIA DE YUNGAY, DEPARTAMENTO DE ANCASH"/>
    <s v="ANCASH"/>
    <x v="0"/>
    <n v="1"/>
    <n v="1"/>
    <d v="2025-03-30T00:00:00"/>
    <n v="125298167"/>
    <n v="118591197.53"/>
    <n v="0.94647192668030011"/>
  </r>
  <r>
    <n v="2509290"/>
    <s v="LOCAL ESCOLAR ANDRÉS AVELINO CÁCERES"/>
    <s v="REHABILITACIÓN DEL LOCAL ESCOLAR ANDRÉS AVELINO CÁCERES CON CÓDIGO LOCAL 179955, DISTRITO DE AURAHUA, PROVINCIA DE CASTROVIRREYNA, REGIÓN HUANCAVELICA"/>
    <s v="HUANCAVELICA"/>
    <x v="0"/>
    <n v="1"/>
    <n v="1"/>
    <d v="2024-12-10T00:00:00"/>
    <n v="54839784"/>
    <n v="52589517.530000001"/>
    <n v="0.95896653294622758"/>
  </r>
  <r>
    <n v="2428765"/>
    <s v="LOCAL EDUCATIVO REPUBLICA DE COLOMBIA"/>
    <s v="IRI EN LOCAL EDUCATIVO CON CÓDIGO DE LOCAL 358607"/>
    <s v="LIMA"/>
    <x v="0"/>
    <n v="1"/>
    <n v="1"/>
    <d v="2024-08-14T00:00:00"/>
    <n v="68212773"/>
    <n v="68056874.460000008"/>
    <n v="0.99771452569447672"/>
  </r>
  <r>
    <n v="2428747"/>
    <s v="LOCAL EDUCATIVO SAN JUAN BAUTISTA PRECURSOR"/>
    <s v="IRI EN LOCAL EDUCATIVO CON CÓDIGO DE LOCAL 358061"/>
    <s v="LIMA"/>
    <x v="0"/>
    <n v="1"/>
    <n v="1"/>
    <d v="2025-02-20T00:00:00"/>
    <n v="91670310"/>
    <n v="91151623.440000013"/>
    <n v="0.99434182605033206"/>
  </r>
  <r>
    <n v="2513473"/>
    <s v="LOCAL ESCOLAR N° 80138 ABELARDO GAMARRA RONDO"/>
    <s v="REHABILITACIÓN DEL LOCAL ESCOLAR N° 80138 ABELARDO GAMARRA RONDO CON CÓDIGO LOCAL Nº 269965, DISTRITO DE CURGOS, PROVINCIA DE SANCHEZ CARRIÓN, DEPARTAMENTO DE LA LIBERTAD"/>
    <s v="LA LIBERTAD"/>
    <x v="0"/>
    <n v="1"/>
    <n v="1"/>
    <d v="2023-10-12T00:00:00"/>
    <n v="46104081"/>
    <n v="44762061.240000002"/>
    <n v="0.9708915191260401"/>
  </r>
  <r>
    <n v="2513465"/>
    <s v="LOCAL ESCOLAR N° 80374 JOSÉ SEVILLA ESCAJADILLO"/>
    <s v="REHABILITACIÓN DEL LOCAL ESCOLAR N° 80374 JOSÉ SEVILLA ESCAJADILLO CON CÓDIGO LOCAL Nº 264425, DISTRITO DE SAN PEDRO DE LLOC, PROVINCIA DE PACASMAYO, DEPARTAMENTO LA LIBERTAD"/>
    <s v="LA LIBERTAD"/>
    <x v="0"/>
    <n v="1"/>
    <n v="1"/>
    <d v="2024-01-31T00:00:00"/>
    <n v="66870381"/>
    <n v="65425224.25"/>
    <n v="0.97838868676402491"/>
  </r>
  <r>
    <n v="2428628"/>
    <s v="LOCAL EDUCATIVO JOSE MATIAS MANZANILLA"/>
    <s v="IRI EN LOCAL EDUCATIVO CON CÓDIGO DE LOCAL 435719"/>
    <s v="PIURA"/>
    <x v="0"/>
    <n v="1"/>
    <n v="1"/>
    <d v="2022-12-20T00:00:00"/>
    <n v="47419006"/>
    <n v="46034237.890000001"/>
    <n v="0.97079719237471995"/>
  </r>
  <r>
    <n v="2515563"/>
    <s v="LOCAL ESCOLAR LA BREA"/>
    <s v="REHABILITACION DE AMBIENTE DE ADMINISTRACION Y/O GESTION PEDAGOGICA Y DE MOBILIARIO DE AULA Y DE EQUIPAMIENTO DE AULA Y DE MODULO DE ATENCION TEMPORAL, EN EL(LA) LA BREA - LA BREA, NEGRITOS DEL DISTRITO DE LA BREA - PROVINCIA DE TALARA - DEPARTAMENTO DE PIURA"/>
    <s v="PIURA"/>
    <x v="0"/>
    <n v="1"/>
    <n v="1"/>
    <d v="2023-05-30T00:00:00"/>
    <n v="44933921"/>
    <n v="42386945.090000004"/>
    <n v="0.9433173011987982"/>
  </r>
  <r>
    <n v="2428651"/>
    <s v="LOCAL EDUCATIVO JOSE ABELARDO QUIÑONES"/>
    <s v="IRI EN LOCAL EDUCATIVO CON CÓDIGO DE LOCAL 490145"/>
    <s v="TUMBES"/>
    <x v="0"/>
    <n v="1"/>
    <n v="1"/>
    <d v="2023-03-06T00:00:00"/>
    <n v="159432352"/>
    <n v="156162406.38"/>
    <n v="0.97949007476224148"/>
  </r>
  <r>
    <n v="2428725"/>
    <s v="LOCAL EDUCATIVO N° 14594 SAN JOSÉ HUARMACA"/>
    <s v="IRI EN LOCAL EDUCATIVO CON CÓDIGO DE LOCAL 426512"/>
    <s v="PIURA"/>
    <x v="0"/>
    <n v="1"/>
    <n v="1"/>
    <d v="2024-02-22T00:00:00"/>
    <n v="53631933"/>
    <n v="53345178.890000001"/>
    <n v="0.99465329526720581"/>
  </r>
  <r>
    <n v="2503358"/>
    <s v="LOCAL ESCOLAR TÉCNICO DE APLICACIÓN"/>
    <s v="REHABILITACIÓN DEL LOCAL ESCOLAR TÉCNICO DE APLICACIÓN CON CÓDIGO LOCAL 414444, DISTRITO DE LA ARENA, PROVINCIA DE PIURA, REGIÓN PIURA"/>
    <s v="PIURA"/>
    <x v="0"/>
    <n v="1"/>
    <n v="1"/>
    <d v="2024-10-28T00:00:00"/>
    <n v="76988053"/>
    <n v="75459698.590000004"/>
    <n v="0.98014816129977989"/>
  </r>
  <r>
    <n v="2503622"/>
    <s v="LOCAL ESCOLAR N° 14641 - BUENOS AIRES"/>
    <s v="REHABILITACIÓN DEL LOCAL ESCOLAR N° 14641 CON CÓDIGO LOCAL 430689, DISTRITO DE BUENOS AIRES, PROVINCIA DE MORROPÓN, REGIÓN PIURA"/>
    <s v="PIURA"/>
    <x v="0"/>
    <n v="1"/>
    <n v="1"/>
    <d v="2024-11-08T00:00:00"/>
    <n v="47085900"/>
    <n v="44888213.899999999"/>
    <n v="0.95332602541312794"/>
  </r>
  <r>
    <n v="2502993"/>
    <s v="LOCAL ESCOLAR N° 14790 MARÍA IGNACIA GARCÍA DE GONZALES"/>
    <s v="RECUPERACIÓN DEL LOCAL ESCOLAR N° 14790 MARÍA IGNACIA GARCÍA DE GONZALES CON CÓDIGO LOCAL 435390, DISTRITO DE SULLANA, PROVINCIA DE SULLANA, REGIÓN PIURA"/>
    <s v="PIURA"/>
    <x v="0"/>
    <n v="1"/>
    <n v="1"/>
    <d v="2024-06-03T00:00:00"/>
    <n v="40424966"/>
    <n v="39453263.980000004"/>
    <n v="0.97596282406273405"/>
  </r>
  <r>
    <n v="2503176"/>
    <s v="LOCAL ESCOLAR N° 20509 SAN JOSÉ"/>
    <s v="REHABILITACIÓN DEL LOCAL ESCOLAR N° 20509 SAN JOSÉ CON CÓDIGO LOCAL 436530, DISTRITO DE IGNACIO ESCUDERO, PROVINCIA DE SULLANA, REGIÓN PIURA"/>
    <s v="PIURA"/>
    <x v="0"/>
    <n v="1"/>
    <n v="1"/>
    <d v="2024-06-04T00:00:00"/>
    <n v="33296405"/>
    <n v="33013148.940000001"/>
    <n v="0.99149289360217718"/>
  </r>
  <r>
    <n v="2503125"/>
    <s v="LOCAL ESCOLAR Nº 14924 DANIEL ALCIDES CARRIÓN"/>
    <s v="REHABILITACIÓN DEL LOCAL ESCOLAR Nº 14924 DANIEL ALCIDES CARRIÓN CON CÓDIGO LOCAL 416198, DISTRITO DE TAMBO GRANDE, PROVINCIA DE PIURA, REGIÓN PIURA"/>
    <s v="PIURA"/>
    <x v="0"/>
    <n v="1"/>
    <n v="1"/>
    <d v="2025-02-27T00:00:00"/>
    <n v="71968112"/>
    <n v="71146830.25999999"/>
    <n v="0.98858825503161718"/>
  </r>
  <r>
    <n v="2503066"/>
    <s v="LOCAL ESCOLAR CORONEL JOSÉ ANDRÉS RAZURI"/>
    <s v="REHABILITACIÓN DEL LOCAL ESCOLAR CORONEL JOSÉ ANDRÉS RAZURI CON CÓDIGO LOCAL 413944, DISTRITO DE CURAMORI, PROVINCIA DE PIURA, REGIÓN PIURA"/>
    <s v="PIURA"/>
    <x v="0"/>
    <n v="1"/>
    <n v="1"/>
    <d v="2023-10-18T00:00:00"/>
    <n v="67899938"/>
    <n v="67201979.019999996"/>
    <n v="0.98972077146815651"/>
  </r>
  <r>
    <n v="2503213"/>
    <s v="LOCAL ESCOLAR N° 15079 VILLA MARIA"/>
    <s v="REHABILITACIÓN DEL LOCAL ESCOLAR N° 15079 CON CÓDIGO LOCAL 435564, DISTRITO DE SULLANA, PROVINCIA DE SULLANA, REGIÓN PIURA."/>
    <s v="PIURA"/>
    <x v="0"/>
    <n v="1"/>
    <n v="1"/>
    <d v="2023-04-04T00:00:00"/>
    <n v="40831017"/>
    <n v="40449267.68"/>
    <n v="0.99065050669690646"/>
  </r>
  <r>
    <n v="2502892"/>
    <s v="LOCAL ESCOLAR N° 15508 DOMINGO SAVIO"/>
    <s v="REHABILITACIÓN DEL LOCAL ESCOLAR N° 15508 DOMINGO SAVIO CON CÓDIGO LOCAL 438398, DISTRITO DE PARIÑAS, PROVINCIA DE TALARA, REGIÓN PIURA"/>
    <s v="PIURA"/>
    <x v="0"/>
    <n v="1"/>
    <n v="1"/>
    <d v="2024-02-19T00:00:00"/>
    <n v="59111107"/>
    <n v="58607835.079999998"/>
    <n v="0.99148600076124438"/>
  </r>
  <r>
    <n v="2503195"/>
    <s v="LOCAL ESCOLAR GENARO MARTÍNEZ SILVA"/>
    <s v="REHABILITACIÓN DEL LOCAL ESCOLAR GENARO MARTÍNEZ SILVA CON CÓDIGO LOCAL 413604, DISTRITO DE CATACAOS, PROVINCIA DE PIURA, REGIÓN PIURA"/>
    <s v="PIURA"/>
    <x v="0"/>
    <n v="1"/>
    <n v="1"/>
    <d v="2024-05-06T00:00:00"/>
    <n v="75655475"/>
    <n v="75172591.650000006"/>
    <n v="0.99361733767450411"/>
  </r>
  <r>
    <n v="2503076"/>
    <s v="LOCAL ESCOLAR JOSE JACOBO CRUZ VILLEGAS"/>
    <s v="REHABILITACIÓN DEL LOCAL ESCOLAR JACOBO CRUZ VILLEGAS CON CÓDIGO LOCAL 413294, DISTRITO DE CATACAOS, PROVINCIA DE PIURA, REGIÓN PIURA."/>
    <s v="PIURA"/>
    <x v="0"/>
    <n v="1"/>
    <n v="1"/>
    <d v="2023-07-11T00:00:00"/>
    <n v="37977314"/>
    <n v="37889834.469999999"/>
    <n v="0.99769653193482821"/>
  </r>
  <r>
    <n v="2503626"/>
    <s v="LOCAL ESCOLAR JOSÉ CAYETANO HEREDIA"/>
    <s v="REHABILITACIÓN DEL LOCAL ESCOLAR JOSÉ CAYETANO HEREDIA CON CÓDIGO LOCAL 413576, DISTRITO DE CATACAOS, PROVINCIA DE PIURA, REGIÓN PIURA"/>
    <s v="PIURA"/>
    <x v="0"/>
    <n v="1"/>
    <n v="1"/>
    <d v="2023-06-13T00:00:00"/>
    <n v="60528317"/>
    <n v="60364434.640000001"/>
    <n v="0.99729246792042803"/>
  </r>
  <r>
    <n v="2503124"/>
    <s v="LOCAL ESCOLAR N° 15027 AMAUTA"/>
    <s v="REHABILITACIÓN DEL LOCAL ESCOLAR N° 15027 AMAUTA CON CÓDIGO LOCAL 435272, DISTRITO DE SULLANA, PROVINCIA DE SULLANA, REGIÓN PIURA"/>
    <s v="PIURA"/>
    <x v="0"/>
    <n v="1"/>
    <n v="1"/>
    <d v="2023-03-30T00:00:00"/>
    <n v="45496577"/>
    <n v="44652487.100000001"/>
    <n v="0.98144717788329439"/>
  </r>
  <r>
    <n v="2502653"/>
    <s v="LOCAL ESCOLAR N°517 - SULLANA"/>
    <s v="REHABILITACION DEL LOCAL ESCOLAR N°517 CON CÓDIGO LOCAL 435106 DISTRITO DE SULLANA, PROVINCIA DE SULLANA, REGIÓN PIURA."/>
    <s v="PIURA"/>
    <x v="0"/>
    <n v="1"/>
    <n v="1"/>
    <d v="2023-09-27T00:00:00"/>
    <n v="14985945"/>
    <n v="14740261.02"/>
    <n v="0.9836057065470345"/>
  </r>
  <r>
    <n v="2503222"/>
    <s v="LOCAL ESCOLAR Nº 14064 - LA UNION"/>
    <s v="REHABILITACIÓN DEL LOCAL ESCOLAR Nº 14064 CON CÓDIGO LOCAL 414694, DISTRITO DE LA UNIÓN, PROVINCIA DE PIURA, REGIÓN PIURA"/>
    <s v="PIURA"/>
    <x v="0"/>
    <n v="1"/>
    <n v="1"/>
    <d v="2024-02-29T00:00:00"/>
    <n v="24014137"/>
    <n v="23922949.539999999"/>
    <n v="0.99620275923303003"/>
  </r>
  <r>
    <n v="2503086"/>
    <s v="LOCAL ESCOLAR N° 14032 MARÍA AUXILIADORA"/>
    <s v="REHABILITACIÓN DEL LOCAL ESCOLAR N° 14032 MARÍA AUXILIADORA CON CÓDIGO LOCAL 413326, DISTRITO DE CATACAOS, PROVINCIA DE PIURA, REGIÓN PIURA"/>
    <s v="PIURA"/>
    <x v="0"/>
    <n v="1"/>
    <n v="1"/>
    <d v="2022-12-31T00:00:00"/>
    <n v="17388184"/>
    <n v="16476337.710000001"/>
    <n v="0.94755942943782978"/>
  </r>
  <r>
    <n v="2428658"/>
    <s v="LOCAL EDUCATIVO CON CÓDIGO DE LOCAL 040609 - LOMA"/>
    <s v="IRI EN EL LOCAL EDUCATIVO CON CÓDIGO DE LOCAL 040609"/>
    <s v="ANCASH"/>
    <x v="2"/>
    <n v="0"/>
    <n v="0"/>
    <m/>
    <n v="15562295"/>
    <n v="96200"/>
    <n v="6.1816075328221193E-3"/>
  </r>
  <r>
    <n v="2464103"/>
    <s v="LOCAL EDUCATIVO CON CÓDIGO DE LOCAL 040534 - PATAPATA"/>
    <s v="IRI EN LOCAL EDUCATIVO CON CÓDIGO DE LOCAL 040534"/>
    <s v="ANCASH"/>
    <x v="2"/>
    <n v="0"/>
    <n v="0"/>
    <m/>
    <n v="32455792"/>
    <n v="96200"/>
    <n v="2.9640318128733387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84118-ECED-40E3-9CE9-86D33FF37E96}" name="TablaDinámica1" cacheId="7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stado del proyecto">
  <location ref="A3:B7" firstHeaderRow="1" firstDataRow="1" firstDataCol="1"/>
  <pivotFields count="11">
    <pivotField dataField="1" numFmtI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9" showAll="0"/>
    <pivotField numFmtId="10" showAll="0"/>
    <pivotField showAll="0"/>
    <pivotField numFmtId="164" showAll="0"/>
    <pivotField numFmtId="43" showAll="0"/>
    <pivotField numFmtId="165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# Proyectos" fld="0" subtotal="count" baseField="4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1DEB-D931-4E05-AF28-A24C0E9B218E}">
  <dimension ref="A2:R79"/>
  <sheetViews>
    <sheetView showGridLines="0" tabSelected="1" workbookViewId="0">
      <selection activeCell="J10" sqref="J10"/>
    </sheetView>
  </sheetViews>
  <sheetFormatPr defaultColWidth="11.42578125" defaultRowHeight="15"/>
  <cols>
    <col min="1" max="1" width="6.42578125" customWidth="1"/>
    <col min="2" max="2" width="11.5703125"/>
    <col min="3" max="3" width="54.28515625" customWidth="1"/>
    <col min="4" max="4" width="24.5703125" customWidth="1"/>
    <col min="5" max="5" width="13" customWidth="1"/>
    <col min="6" max="6" width="24.28515625" customWidth="1"/>
    <col min="8" max="8" width="15.7109375" customWidth="1"/>
    <col min="9" max="9" width="17.85546875" customWidth="1"/>
    <col min="11" max="11" width="14.7109375" bestFit="1" customWidth="1"/>
    <col min="15" max="15" width="14.5703125" customWidth="1"/>
    <col min="16" max="16" width="17.5703125" customWidth="1"/>
    <col min="17" max="17" width="26" customWidth="1"/>
    <col min="18" max="18" width="47" customWidth="1"/>
  </cols>
  <sheetData>
    <row r="2" spans="1:18" ht="22.9" customHeight="1">
      <c r="M2" s="29" t="s">
        <v>0</v>
      </c>
      <c r="N2" s="30"/>
      <c r="O2" s="30"/>
      <c r="P2" s="30"/>
      <c r="Q2" s="30"/>
      <c r="R2" s="30"/>
    </row>
    <row r="3" spans="1:18" ht="24">
      <c r="A3" s="3" t="s">
        <v>1</v>
      </c>
      <c r="B3" s="3" t="s">
        <v>2</v>
      </c>
      <c r="C3" s="4" t="s">
        <v>3</v>
      </c>
      <c r="D3" s="5" t="s">
        <v>4</v>
      </c>
      <c r="E3" s="5" t="s">
        <v>5</v>
      </c>
      <c r="F3" s="6" t="s">
        <v>6</v>
      </c>
      <c r="G3" s="7" t="s">
        <v>7</v>
      </c>
      <c r="H3" s="9" t="s">
        <v>8</v>
      </c>
      <c r="I3" s="11" t="s">
        <v>9</v>
      </c>
      <c r="J3" s="13" t="s">
        <v>10</v>
      </c>
      <c r="K3" s="13" t="s">
        <v>11</v>
      </c>
      <c r="L3" s="13" t="s">
        <v>12</v>
      </c>
      <c r="M3" s="25" t="s">
        <v>13</v>
      </c>
      <c r="N3" s="25" t="s">
        <v>14</v>
      </c>
      <c r="O3" s="25" t="s">
        <v>15</v>
      </c>
      <c r="P3" s="25" t="s">
        <v>6</v>
      </c>
      <c r="Q3" s="25" t="s">
        <v>16</v>
      </c>
      <c r="R3" s="25" t="s">
        <v>17</v>
      </c>
    </row>
    <row r="4" spans="1:18">
      <c r="A4" s="1">
        <v>1</v>
      </c>
      <c r="B4" s="1">
        <v>2503451</v>
      </c>
      <c r="C4" s="2" t="s">
        <v>18</v>
      </c>
      <c r="D4" s="2" t="s">
        <v>19</v>
      </c>
      <c r="E4" s="2" t="s">
        <v>20</v>
      </c>
      <c r="F4" s="28" t="s">
        <v>21</v>
      </c>
      <c r="G4" s="8">
        <v>1</v>
      </c>
      <c r="H4" s="10">
        <v>1</v>
      </c>
      <c r="I4" s="12">
        <v>44645</v>
      </c>
      <c r="J4" s="14">
        <v>8814684</v>
      </c>
      <c r="K4" s="15">
        <v>8385451.4500000002</v>
      </c>
      <c r="L4" s="16">
        <f t="shared" ref="L4:L67" si="0">IFERROR(K4/J4,0)</f>
        <v>0.95130482839770547</v>
      </c>
      <c r="M4" s="27" t="s">
        <v>22</v>
      </c>
      <c r="N4" s="26" t="s">
        <v>22</v>
      </c>
      <c r="O4" s="26" t="s">
        <v>23</v>
      </c>
      <c r="P4" s="26" t="s">
        <v>23</v>
      </c>
      <c r="Q4" s="26" t="s">
        <v>23</v>
      </c>
      <c r="R4" s="26" t="s">
        <v>23</v>
      </c>
    </row>
    <row r="5" spans="1:18">
      <c r="A5" s="1">
        <v>2</v>
      </c>
      <c r="B5" s="1">
        <v>2503352</v>
      </c>
      <c r="C5" s="2" t="s">
        <v>24</v>
      </c>
      <c r="D5" s="2" t="s">
        <v>25</v>
      </c>
      <c r="E5" s="2" t="s">
        <v>20</v>
      </c>
      <c r="F5" s="28" t="s">
        <v>21</v>
      </c>
      <c r="G5" s="8">
        <v>1</v>
      </c>
      <c r="H5" s="10">
        <v>1</v>
      </c>
      <c r="I5" s="12">
        <v>44861</v>
      </c>
      <c r="J5" s="14">
        <v>26705417</v>
      </c>
      <c r="K5" s="15">
        <v>26135395.579999998</v>
      </c>
      <c r="L5" s="16">
        <f t="shared" si="0"/>
        <v>0.97865521365946084</v>
      </c>
      <c r="M5" s="27" t="s">
        <v>22</v>
      </c>
      <c r="N5" s="26" t="s">
        <v>22</v>
      </c>
      <c r="O5" s="26" t="s">
        <v>23</v>
      </c>
      <c r="P5" s="26" t="s">
        <v>23</v>
      </c>
      <c r="Q5" s="26" t="s">
        <v>23</v>
      </c>
      <c r="R5" s="26" t="s">
        <v>23</v>
      </c>
    </row>
    <row r="6" spans="1:18">
      <c r="A6" s="1">
        <v>3</v>
      </c>
      <c r="B6" s="1">
        <v>2503615</v>
      </c>
      <c r="C6" s="2" t="s">
        <v>26</v>
      </c>
      <c r="D6" s="2" t="s">
        <v>27</v>
      </c>
      <c r="E6" s="2" t="s">
        <v>20</v>
      </c>
      <c r="F6" s="28" t="s">
        <v>21</v>
      </c>
      <c r="G6" s="8">
        <v>1</v>
      </c>
      <c r="H6" s="10">
        <v>1</v>
      </c>
      <c r="I6" s="12">
        <v>44852</v>
      </c>
      <c r="J6" s="14">
        <v>26596119</v>
      </c>
      <c r="K6" s="15">
        <v>26088772.050000001</v>
      </c>
      <c r="L6" s="16">
        <f t="shared" si="0"/>
        <v>0.98092402316292837</v>
      </c>
      <c r="M6" s="27" t="s">
        <v>22</v>
      </c>
      <c r="N6" s="26" t="s">
        <v>22</v>
      </c>
      <c r="O6" s="26" t="s">
        <v>23</v>
      </c>
      <c r="P6" s="26" t="s">
        <v>23</v>
      </c>
      <c r="Q6" s="26" t="s">
        <v>23</v>
      </c>
      <c r="R6" s="26" t="s">
        <v>23</v>
      </c>
    </row>
    <row r="7" spans="1:18">
      <c r="A7" s="1">
        <v>4</v>
      </c>
      <c r="B7" s="1">
        <v>2503220</v>
      </c>
      <c r="C7" s="2" t="s">
        <v>28</v>
      </c>
      <c r="D7" s="2" t="s">
        <v>29</v>
      </c>
      <c r="E7" s="2" t="s">
        <v>20</v>
      </c>
      <c r="F7" s="28" t="s">
        <v>21</v>
      </c>
      <c r="G7" s="8">
        <v>1</v>
      </c>
      <c r="H7" s="10">
        <v>1</v>
      </c>
      <c r="I7" s="12">
        <v>44784</v>
      </c>
      <c r="J7" s="14">
        <v>32660182</v>
      </c>
      <c r="K7" s="15">
        <v>31781838.010000002</v>
      </c>
      <c r="L7" s="16">
        <f t="shared" si="0"/>
        <v>0.97310658005518769</v>
      </c>
      <c r="M7" s="27" t="s">
        <v>22</v>
      </c>
      <c r="N7" s="26" t="s">
        <v>22</v>
      </c>
      <c r="O7" s="26" t="s">
        <v>23</v>
      </c>
      <c r="P7" s="26" t="s">
        <v>23</v>
      </c>
      <c r="Q7" s="26" t="s">
        <v>23</v>
      </c>
      <c r="R7" s="26" t="s">
        <v>23</v>
      </c>
    </row>
    <row r="8" spans="1:18">
      <c r="A8" s="1">
        <v>5</v>
      </c>
      <c r="B8" s="1">
        <v>2502300</v>
      </c>
      <c r="C8" s="2" t="s">
        <v>30</v>
      </c>
      <c r="D8" s="2" t="s">
        <v>31</v>
      </c>
      <c r="E8" s="2" t="s">
        <v>32</v>
      </c>
      <c r="F8" s="28" t="s">
        <v>21</v>
      </c>
      <c r="G8" s="8">
        <v>1</v>
      </c>
      <c r="H8" s="10">
        <v>1</v>
      </c>
      <c r="I8" s="12">
        <v>44632</v>
      </c>
      <c r="J8" s="14">
        <v>78941147</v>
      </c>
      <c r="K8" s="15">
        <v>74192186.049999997</v>
      </c>
      <c r="L8" s="16">
        <f t="shared" si="0"/>
        <v>0.93984175388280078</v>
      </c>
      <c r="M8" s="27" t="s">
        <v>22</v>
      </c>
      <c r="N8" s="26" t="s">
        <v>22</v>
      </c>
      <c r="O8" s="26" t="s">
        <v>23</v>
      </c>
      <c r="P8" s="26" t="s">
        <v>23</v>
      </c>
      <c r="Q8" s="26" t="s">
        <v>23</v>
      </c>
      <c r="R8" s="26" t="s">
        <v>23</v>
      </c>
    </row>
    <row r="9" spans="1:18">
      <c r="A9" s="1">
        <v>6</v>
      </c>
      <c r="B9" s="1">
        <v>2503217</v>
      </c>
      <c r="C9" s="2" t="s">
        <v>33</v>
      </c>
      <c r="D9" s="2" t="s">
        <v>34</v>
      </c>
      <c r="E9" s="2" t="s">
        <v>32</v>
      </c>
      <c r="F9" s="28" t="s">
        <v>21</v>
      </c>
      <c r="G9" s="8">
        <v>1</v>
      </c>
      <c r="H9" s="10">
        <v>1</v>
      </c>
      <c r="I9" s="12">
        <v>44586</v>
      </c>
      <c r="J9" s="14">
        <v>29563433</v>
      </c>
      <c r="K9" s="15">
        <v>27216452.02</v>
      </c>
      <c r="L9" s="16">
        <f t="shared" si="0"/>
        <v>0.92061202837978928</v>
      </c>
      <c r="M9" s="27" t="s">
        <v>22</v>
      </c>
      <c r="N9" s="26" t="s">
        <v>22</v>
      </c>
      <c r="O9" s="26" t="s">
        <v>23</v>
      </c>
      <c r="P9" s="26" t="s">
        <v>23</v>
      </c>
      <c r="Q9" s="26" t="s">
        <v>23</v>
      </c>
      <c r="R9" s="26" t="s">
        <v>23</v>
      </c>
    </row>
    <row r="10" spans="1:18">
      <c r="A10" s="1">
        <v>7</v>
      </c>
      <c r="B10" s="1">
        <v>2503208</v>
      </c>
      <c r="C10" s="2" t="s">
        <v>35</v>
      </c>
      <c r="D10" s="2" t="s">
        <v>36</v>
      </c>
      <c r="E10" s="2" t="s">
        <v>32</v>
      </c>
      <c r="F10" s="28" t="s">
        <v>21</v>
      </c>
      <c r="G10" s="8">
        <v>1</v>
      </c>
      <c r="H10" s="10">
        <v>1</v>
      </c>
      <c r="I10" s="12">
        <v>44644</v>
      </c>
      <c r="J10" s="14">
        <v>20548687</v>
      </c>
      <c r="K10" s="15">
        <v>19765770.120000001</v>
      </c>
      <c r="L10" s="16">
        <f t="shared" si="0"/>
        <v>0.96189942062964906</v>
      </c>
      <c r="M10" s="27" t="s">
        <v>22</v>
      </c>
      <c r="N10" s="26" t="s">
        <v>22</v>
      </c>
      <c r="O10" s="26" t="s">
        <v>23</v>
      </c>
      <c r="P10" s="26" t="s">
        <v>23</v>
      </c>
      <c r="Q10" s="26" t="s">
        <v>23</v>
      </c>
      <c r="R10" s="26" t="s">
        <v>23</v>
      </c>
    </row>
    <row r="11" spans="1:18">
      <c r="A11" s="1">
        <v>8</v>
      </c>
      <c r="B11" s="1">
        <v>2428685</v>
      </c>
      <c r="C11" s="2" t="s">
        <v>37</v>
      </c>
      <c r="D11" s="2" t="s">
        <v>38</v>
      </c>
      <c r="E11" s="2" t="s">
        <v>32</v>
      </c>
      <c r="F11" s="28" t="s">
        <v>21</v>
      </c>
      <c r="G11" s="8">
        <v>1</v>
      </c>
      <c r="H11" s="10">
        <v>1</v>
      </c>
      <c r="I11" s="12">
        <v>44649</v>
      </c>
      <c r="J11" s="14">
        <v>23744895</v>
      </c>
      <c r="K11" s="15">
        <v>22676744.620000001</v>
      </c>
      <c r="L11" s="16">
        <f t="shared" si="0"/>
        <v>0.95501557787473901</v>
      </c>
      <c r="M11" s="27" t="s">
        <v>22</v>
      </c>
      <c r="N11" s="26" t="s">
        <v>22</v>
      </c>
      <c r="O11" s="26" t="s">
        <v>23</v>
      </c>
      <c r="P11" s="26" t="s">
        <v>23</v>
      </c>
      <c r="Q11" s="26" t="s">
        <v>23</v>
      </c>
      <c r="R11" s="26" t="s">
        <v>23</v>
      </c>
    </row>
    <row r="12" spans="1:18">
      <c r="A12" s="1">
        <v>9</v>
      </c>
      <c r="B12" s="1">
        <v>2503624</v>
      </c>
      <c r="C12" s="2" t="s">
        <v>39</v>
      </c>
      <c r="D12" s="2" t="s">
        <v>40</v>
      </c>
      <c r="E12" s="2" t="s">
        <v>32</v>
      </c>
      <c r="F12" s="28" t="s">
        <v>21</v>
      </c>
      <c r="G12" s="8">
        <v>1</v>
      </c>
      <c r="H12" s="10">
        <v>1</v>
      </c>
      <c r="I12" s="12">
        <v>44649</v>
      </c>
      <c r="J12" s="14">
        <v>25754537</v>
      </c>
      <c r="K12" s="15">
        <v>23972813.18</v>
      </c>
      <c r="L12" s="16">
        <f t="shared" si="0"/>
        <v>0.93081903122544973</v>
      </c>
      <c r="M12" s="27" t="s">
        <v>22</v>
      </c>
      <c r="N12" s="26" t="s">
        <v>22</v>
      </c>
      <c r="O12" s="26" t="s">
        <v>23</v>
      </c>
      <c r="P12" s="26" t="s">
        <v>23</v>
      </c>
      <c r="Q12" s="26" t="s">
        <v>23</v>
      </c>
      <c r="R12" s="26" t="s">
        <v>23</v>
      </c>
    </row>
    <row r="13" spans="1:18">
      <c r="A13" s="1">
        <v>10</v>
      </c>
      <c r="B13" s="1">
        <v>2503752</v>
      </c>
      <c r="C13" s="2" t="s">
        <v>41</v>
      </c>
      <c r="D13" s="2" t="s">
        <v>42</v>
      </c>
      <c r="E13" s="2" t="s">
        <v>32</v>
      </c>
      <c r="F13" s="28" t="s">
        <v>21</v>
      </c>
      <c r="G13" s="8">
        <v>1</v>
      </c>
      <c r="H13" s="10">
        <v>1</v>
      </c>
      <c r="I13" s="12">
        <v>44655</v>
      </c>
      <c r="J13" s="14">
        <v>21905486</v>
      </c>
      <c r="K13" s="15">
        <v>19798916.370000001</v>
      </c>
      <c r="L13" s="16">
        <f t="shared" si="0"/>
        <v>0.90383369581482931</v>
      </c>
      <c r="M13" s="27" t="s">
        <v>22</v>
      </c>
      <c r="N13" s="26" t="s">
        <v>22</v>
      </c>
      <c r="O13" s="26" t="s">
        <v>23</v>
      </c>
      <c r="P13" s="26" t="s">
        <v>23</v>
      </c>
      <c r="Q13" s="26" t="s">
        <v>23</v>
      </c>
      <c r="R13" s="26" t="s">
        <v>23</v>
      </c>
    </row>
    <row r="14" spans="1:18">
      <c r="A14" s="1">
        <v>11</v>
      </c>
      <c r="B14" s="1">
        <v>2503356</v>
      </c>
      <c r="C14" s="2" t="s">
        <v>43</v>
      </c>
      <c r="D14" s="2" t="s">
        <v>44</v>
      </c>
      <c r="E14" s="2" t="s">
        <v>32</v>
      </c>
      <c r="F14" s="28" t="s">
        <v>21</v>
      </c>
      <c r="G14" s="8">
        <v>1</v>
      </c>
      <c r="H14" s="10">
        <v>1</v>
      </c>
      <c r="I14" s="12">
        <v>44662</v>
      </c>
      <c r="J14" s="14">
        <v>41901048</v>
      </c>
      <c r="K14" s="15">
        <v>38705423.299999997</v>
      </c>
      <c r="L14" s="16">
        <f t="shared" si="0"/>
        <v>0.92373401495828933</v>
      </c>
      <c r="M14" s="27" t="s">
        <v>22</v>
      </c>
      <c r="N14" s="26" t="s">
        <v>22</v>
      </c>
      <c r="O14" s="26" t="s">
        <v>23</v>
      </c>
      <c r="P14" s="26" t="s">
        <v>23</v>
      </c>
      <c r="Q14" s="26" t="s">
        <v>23</v>
      </c>
      <c r="R14" s="26" t="s">
        <v>23</v>
      </c>
    </row>
    <row r="15" spans="1:18">
      <c r="A15" s="1">
        <v>12</v>
      </c>
      <c r="B15" s="1">
        <v>2503218</v>
      </c>
      <c r="C15" s="2" t="s">
        <v>45</v>
      </c>
      <c r="D15" s="2" t="s">
        <v>46</v>
      </c>
      <c r="E15" s="2" t="s">
        <v>32</v>
      </c>
      <c r="F15" s="28" t="s">
        <v>21</v>
      </c>
      <c r="G15" s="8">
        <v>1</v>
      </c>
      <c r="H15" s="10">
        <v>1</v>
      </c>
      <c r="I15" s="12">
        <v>44679</v>
      </c>
      <c r="J15" s="14">
        <v>44344594</v>
      </c>
      <c r="K15" s="15">
        <v>40908918.780000001</v>
      </c>
      <c r="L15" s="16">
        <f t="shared" si="0"/>
        <v>0.92252324556179277</v>
      </c>
      <c r="M15" s="27" t="s">
        <v>22</v>
      </c>
      <c r="N15" s="26" t="s">
        <v>22</v>
      </c>
      <c r="O15" s="26" t="s">
        <v>23</v>
      </c>
      <c r="P15" s="26" t="s">
        <v>23</v>
      </c>
      <c r="Q15" s="26" t="s">
        <v>23</v>
      </c>
      <c r="R15" s="26" t="s">
        <v>23</v>
      </c>
    </row>
    <row r="16" spans="1:18">
      <c r="A16" s="1">
        <v>13</v>
      </c>
      <c r="B16" s="1">
        <v>2503353</v>
      </c>
      <c r="C16" s="2" t="s">
        <v>47</v>
      </c>
      <c r="D16" s="2" t="s">
        <v>48</v>
      </c>
      <c r="E16" s="2" t="s">
        <v>32</v>
      </c>
      <c r="F16" s="28" t="s">
        <v>21</v>
      </c>
      <c r="G16" s="8">
        <v>1</v>
      </c>
      <c r="H16" s="10">
        <v>1</v>
      </c>
      <c r="I16" s="12">
        <v>44692</v>
      </c>
      <c r="J16" s="14">
        <v>55759889</v>
      </c>
      <c r="K16" s="15">
        <v>51494527.450000003</v>
      </c>
      <c r="L16" s="16">
        <f t="shared" si="0"/>
        <v>0.92350484144615141</v>
      </c>
      <c r="M16" s="27" t="s">
        <v>22</v>
      </c>
      <c r="N16" s="26" t="s">
        <v>22</v>
      </c>
      <c r="O16" s="26" t="s">
        <v>23</v>
      </c>
      <c r="P16" s="26" t="s">
        <v>23</v>
      </c>
      <c r="Q16" s="26" t="s">
        <v>23</v>
      </c>
      <c r="R16" s="26" t="s">
        <v>23</v>
      </c>
    </row>
    <row r="17" spans="1:18">
      <c r="A17" s="1">
        <v>14</v>
      </c>
      <c r="B17" s="1">
        <v>2503757</v>
      </c>
      <c r="C17" s="2" t="s">
        <v>49</v>
      </c>
      <c r="D17" s="2" t="s">
        <v>50</v>
      </c>
      <c r="E17" s="2" t="s">
        <v>32</v>
      </c>
      <c r="F17" s="28" t="s">
        <v>21</v>
      </c>
      <c r="G17" s="8">
        <v>1</v>
      </c>
      <c r="H17" s="10">
        <v>1</v>
      </c>
      <c r="I17" s="12">
        <v>44698</v>
      </c>
      <c r="J17" s="14">
        <v>33844011</v>
      </c>
      <c r="K17" s="15">
        <v>32095476.899999999</v>
      </c>
      <c r="L17" s="16">
        <f t="shared" si="0"/>
        <v>0.94833549427696373</v>
      </c>
      <c r="M17" s="27" t="s">
        <v>22</v>
      </c>
      <c r="N17" s="26" t="s">
        <v>22</v>
      </c>
      <c r="O17" s="26" t="s">
        <v>23</v>
      </c>
      <c r="P17" s="26" t="s">
        <v>23</v>
      </c>
      <c r="Q17" s="26" t="s">
        <v>23</v>
      </c>
      <c r="R17" s="26" t="s">
        <v>23</v>
      </c>
    </row>
    <row r="18" spans="1:18">
      <c r="A18" s="1">
        <v>15</v>
      </c>
      <c r="B18" s="1">
        <v>2502654</v>
      </c>
      <c r="C18" s="2" t="s">
        <v>51</v>
      </c>
      <c r="D18" s="2" t="s">
        <v>52</v>
      </c>
      <c r="E18" s="2" t="s">
        <v>53</v>
      </c>
      <c r="F18" s="28" t="s">
        <v>21</v>
      </c>
      <c r="G18" s="8">
        <v>1</v>
      </c>
      <c r="H18" s="10">
        <v>1</v>
      </c>
      <c r="I18" s="12">
        <v>44785</v>
      </c>
      <c r="J18" s="14">
        <v>55113156</v>
      </c>
      <c r="K18" s="15">
        <v>53542717.119999997</v>
      </c>
      <c r="L18" s="16">
        <f t="shared" si="0"/>
        <v>0.97150519052111617</v>
      </c>
      <c r="M18" s="27" t="s">
        <v>22</v>
      </c>
      <c r="N18" s="26" t="s">
        <v>22</v>
      </c>
      <c r="O18" s="26" t="s">
        <v>23</v>
      </c>
      <c r="P18" s="26" t="s">
        <v>23</v>
      </c>
      <c r="Q18" s="26" t="s">
        <v>23</v>
      </c>
      <c r="R18" s="26" t="s">
        <v>23</v>
      </c>
    </row>
    <row r="19" spans="1:18">
      <c r="A19" s="1">
        <v>16</v>
      </c>
      <c r="B19" s="1">
        <v>2503010</v>
      </c>
      <c r="C19" s="2" t="s">
        <v>54</v>
      </c>
      <c r="D19" s="2" t="s">
        <v>55</v>
      </c>
      <c r="E19" s="2" t="s">
        <v>53</v>
      </c>
      <c r="F19" s="28" t="s">
        <v>21</v>
      </c>
      <c r="G19" s="8">
        <v>1</v>
      </c>
      <c r="H19" s="10">
        <v>1</v>
      </c>
      <c r="I19" s="12">
        <v>44784</v>
      </c>
      <c r="J19" s="14">
        <v>35796698</v>
      </c>
      <c r="K19" s="15">
        <v>34279573.399999999</v>
      </c>
      <c r="L19" s="16">
        <f t="shared" si="0"/>
        <v>0.95761830881719867</v>
      </c>
      <c r="M19" s="27" t="s">
        <v>22</v>
      </c>
      <c r="N19" s="26" t="s">
        <v>22</v>
      </c>
      <c r="O19" s="26" t="s">
        <v>23</v>
      </c>
      <c r="P19" s="26" t="s">
        <v>23</v>
      </c>
      <c r="Q19" s="26" t="s">
        <v>23</v>
      </c>
      <c r="R19" s="26" t="s">
        <v>23</v>
      </c>
    </row>
    <row r="20" spans="1:18">
      <c r="A20" s="1">
        <v>17</v>
      </c>
      <c r="B20" s="1">
        <v>2502990</v>
      </c>
      <c r="C20" s="2" t="s">
        <v>56</v>
      </c>
      <c r="D20" s="2" t="s">
        <v>57</v>
      </c>
      <c r="E20" s="2" t="s">
        <v>53</v>
      </c>
      <c r="F20" s="28" t="s">
        <v>21</v>
      </c>
      <c r="G20" s="8">
        <v>1</v>
      </c>
      <c r="H20" s="10">
        <v>1</v>
      </c>
      <c r="I20" s="12">
        <v>44789</v>
      </c>
      <c r="J20" s="14">
        <v>28696904</v>
      </c>
      <c r="K20" s="15">
        <v>27710290.379999999</v>
      </c>
      <c r="L20" s="16">
        <f t="shared" si="0"/>
        <v>0.96561951003495006</v>
      </c>
      <c r="M20" s="27" t="s">
        <v>22</v>
      </c>
      <c r="N20" s="26" t="s">
        <v>22</v>
      </c>
      <c r="O20" s="26" t="s">
        <v>23</v>
      </c>
      <c r="P20" s="26" t="s">
        <v>23</v>
      </c>
      <c r="Q20" s="26" t="s">
        <v>23</v>
      </c>
      <c r="R20" s="26" t="s">
        <v>23</v>
      </c>
    </row>
    <row r="21" spans="1:18">
      <c r="A21" s="1">
        <v>18</v>
      </c>
      <c r="B21" s="1">
        <v>2503006</v>
      </c>
      <c r="C21" s="2" t="s">
        <v>58</v>
      </c>
      <c r="D21" s="2" t="s">
        <v>59</v>
      </c>
      <c r="E21" s="2" t="s">
        <v>53</v>
      </c>
      <c r="F21" s="28" t="s">
        <v>21</v>
      </c>
      <c r="G21" s="8">
        <v>1</v>
      </c>
      <c r="H21" s="10">
        <v>1</v>
      </c>
      <c r="I21" s="12">
        <v>44827</v>
      </c>
      <c r="J21" s="14">
        <v>42304101</v>
      </c>
      <c r="K21" s="15">
        <v>40960074.960000001</v>
      </c>
      <c r="L21" s="16">
        <f t="shared" si="0"/>
        <v>0.96822941492126258</v>
      </c>
      <c r="M21" s="27" t="s">
        <v>22</v>
      </c>
      <c r="N21" s="26" t="s">
        <v>22</v>
      </c>
      <c r="O21" s="26" t="s">
        <v>23</v>
      </c>
      <c r="P21" s="26" t="s">
        <v>23</v>
      </c>
      <c r="Q21" s="26" t="s">
        <v>23</v>
      </c>
      <c r="R21" s="26" t="s">
        <v>23</v>
      </c>
    </row>
    <row r="22" spans="1:18">
      <c r="A22" s="1">
        <v>19</v>
      </c>
      <c r="B22" s="1">
        <v>2502989</v>
      </c>
      <c r="C22" s="2" t="s">
        <v>60</v>
      </c>
      <c r="D22" s="2" t="s">
        <v>61</v>
      </c>
      <c r="E22" s="2" t="s">
        <v>53</v>
      </c>
      <c r="F22" s="28" t="s">
        <v>21</v>
      </c>
      <c r="G22" s="8">
        <v>1</v>
      </c>
      <c r="H22" s="10">
        <v>1</v>
      </c>
      <c r="I22" s="12">
        <v>44749</v>
      </c>
      <c r="J22" s="14">
        <v>25792165</v>
      </c>
      <c r="K22" s="15">
        <v>24712377.27</v>
      </c>
      <c r="L22" s="16">
        <f t="shared" si="0"/>
        <v>0.9581350487638397</v>
      </c>
      <c r="M22" s="27" t="s">
        <v>22</v>
      </c>
      <c r="N22" s="26" t="s">
        <v>22</v>
      </c>
      <c r="O22" s="26" t="s">
        <v>23</v>
      </c>
      <c r="P22" s="26" t="s">
        <v>23</v>
      </c>
      <c r="Q22" s="26" t="s">
        <v>23</v>
      </c>
      <c r="R22" s="26" t="s">
        <v>23</v>
      </c>
    </row>
    <row r="23" spans="1:18">
      <c r="A23" s="1">
        <v>20</v>
      </c>
      <c r="B23" s="1">
        <v>2502861</v>
      </c>
      <c r="C23" s="2" t="s">
        <v>62</v>
      </c>
      <c r="D23" s="2" t="s">
        <v>63</v>
      </c>
      <c r="E23" s="2" t="s">
        <v>64</v>
      </c>
      <c r="F23" s="28" t="s">
        <v>21</v>
      </c>
      <c r="G23" s="8">
        <v>1</v>
      </c>
      <c r="H23" s="10">
        <v>1</v>
      </c>
      <c r="I23" s="12">
        <v>44817</v>
      </c>
      <c r="J23" s="14">
        <v>40703979</v>
      </c>
      <c r="K23" s="15">
        <v>38214185.799999997</v>
      </c>
      <c r="L23" s="16">
        <f t="shared" si="0"/>
        <v>0.93883169996721938</v>
      </c>
      <c r="M23" s="27" t="s">
        <v>22</v>
      </c>
      <c r="N23" s="26" t="s">
        <v>22</v>
      </c>
      <c r="O23" s="26" t="s">
        <v>23</v>
      </c>
      <c r="P23" s="26" t="s">
        <v>23</v>
      </c>
      <c r="Q23" s="26" t="s">
        <v>23</v>
      </c>
      <c r="R23" s="26" t="s">
        <v>23</v>
      </c>
    </row>
    <row r="24" spans="1:18">
      <c r="A24" s="1">
        <v>21</v>
      </c>
      <c r="B24" s="1">
        <v>2502855</v>
      </c>
      <c r="C24" s="2" t="s">
        <v>65</v>
      </c>
      <c r="D24" s="2" t="s">
        <v>66</v>
      </c>
      <c r="E24" s="2" t="s">
        <v>64</v>
      </c>
      <c r="F24" s="28" t="s">
        <v>21</v>
      </c>
      <c r="G24" s="8">
        <v>1</v>
      </c>
      <c r="H24" s="10">
        <v>1</v>
      </c>
      <c r="I24" s="12">
        <v>44817</v>
      </c>
      <c r="J24" s="14">
        <v>19486288</v>
      </c>
      <c r="K24" s="15">
        <v>18349955.579999998</v>
      </c>
      <c r="L24" s="16">
        <f t="shared" si="0"/>
        <v>0.94168553702993607</v>
      </c>
      <c r="M24" s="27" t="s">
        <v>22</v>
      </c>
      <c r="N24" s="26" t="s">
        <v>22</v>
      </c>
      <c r="O24" s="26" t="s">
        <v>23</v>
      </c>
      <c r="P24" s="26" t="s">
        <v>23</v>
      </c>
      <c r="Q24" s="26" t="s">
        <v>23</v>
      </c>
      <c r="R24" s="26" t="s">
        <v>23</v>
      </c>
    </row>
    <row r="25" spans="1:18">
      <c r="A25" s="1">
        <v>22</v>
      </c>
      <c r="B25" s="1">
        <v>2513468</v>
      </c>
      <c r="C25" s="2" t="s">
        <v>67</v>
      </c>
      <c r="D25" s="2" t="s">
        <v>68</v>
      </c>
      <c r="E25" s="2" t="s">
        <v>32</v>
      </c>
      <c r="F25" s="28" t="s">
        <v>21</v>
      </c>
      <c r="G25" s="8">
        <v>1</v>
      </c>
      <c r="H25" s="10">
        <v>1</v>
      </c>
      <c r="I25" s="12">
        <v>45165</v>
      </c>
      <c r="J25" s="14">
        <v>82665704</v>
      </c>
      <c r="K25" s="15">
        <v>72611579.099999994</v>
      </c>
      <c r="L25" s="16">
        <f t="shared" si="0"/>
        <v>0.87837610504109409</v>
      </c>
      <c r="M25" s="27" t="s">
        <v>22</v>
      </c>
      <c r="N25" s="26" t="s">
        <v>22</v>
      </c>
      <c r="O25" s="26" t="s">
        <v>23</v>
      </c>
      <c r="P25" s="26" t="s">
        <v>23</v>
      </c>
      <c r="Q25" s="26" t="s">
        <v>23</v>
      </c>
      <c r="R25" s="26" t="s">
        <v>23</v>
      </c>
    </row>
    <row r="26" spans="1:18">
      <c r="A26" s="1">
        <v>23</v>
      </c>
      <c r="B26" s="1">
        <v>2428736</v>
      </c>
      <c r="C26" s="2" t="s">
        <v>69</v>
      </c>
      <c r="D26" s="2" t="s">
        <v>70</v>
      </c>
      <c r="E26" s="2" t="s">
        <v>32</v>
      </c>
      <c r="F26" s="28" t="s">
        <v>21</v>
      </c>
      <c r="G26" s="8">
        <v>1</v>
      </c>
      <c r="H26" s="10">
        <v>1</v>
      </c>
      <c r="I26" s="12">
        <v>45358</v>
      </c>
      <c r="J26" s="14">
        <v>83696895</v>
      </c>
      <c r="K26" s="15">
        <v>82590655.25</v>
      </c>
      <c r="L26" s="16">
        <f t="shared" si="0"/>
        <v>0.9867827862670413</v>
      </c>
      <c r="M26" s="27" t="s">
        <v>71</v>
      </c>
      <c r="N26" s="26" t="s">
        <v>71</v>
      </c>
      <c r="O26" s="26" t="s">
        <v>71</v>
      </c>
      <c r="P26" s="26" t="s">
        <v>72</v>
      </c>
      <c r="Q26" s="26" t="s">
        <v>73</v>
      </c>
      <c r="R26" s="26" t="s">
        <v>74</v>
      </c>
    </row>
    <row r="27" spans="1:18">
      <c r="A27" s="1">
        <v>24</v>
      </c>
      <c r="B27" s="1">
        <v>2428729</v>
      </c>
      <c r="C27" s="2" t="s">
        <v>75</v>
      </c>
      <c r="D27" s="2" t="s">
        <v>76</v>
      </c>
      <c r="E27" s="2" t="s">
        <v>32</v>
      </c>
      <c r="F27" s="28" t="s">
        <v>21</v>
      </c>
      <c r="G27" s="8">
        <v>1</v>
      </c>
      <c r="H27" s="10">
        <v>1</v>
      </c>
      <c r="I27" s="12">
        <v>45630</v>
      </c>
      <c r="J27" s="14">
        <v>82529029</v>
      </c>
      <c r="K27" s="15">
        <v>78824568.399999991</v>
      </c>
      <c r="L27" s="16">
        <f t="shared" si="0"/>
        <v>0.95511324142684373</v>
      </c>
      <c r="M27" s="27" t="s">
        <v>71</v>
      </c>
      <c r="N27" s="26" t="s">
        <v>71</v>
      </c>
      <c r="O27" s="26" t="s">
        <v>71</v>
      </c>
      <c r="P27" s="26" t="s">
        <v>72</v>
      </c>
      <c r="Q27" s="26" t="s">
        <v>73</v>
      </c>
      <c r="R27" s="26" t="s">
        <v>74</v>
      </c>
    </row>
    <row r="28" spans="1:18">
      <c r="A28" s="1">
        <v>25</v>
      </c>
      <c r="B28" s="1">
        <v>2513471</v>
      </c>
      <c r="C28" s="2" t="s">
        <v>77</v>
      </c>
      <c r="D28" s="2" t="s">
        <v>78</v>
      </c>
      <c r="E28" s="2" t="s">
        <v>32</v>
      </c>
      <c r="F28" s="28" t="s">
        <v>21</v>
      </c>
      <c r="G28" s="8">
        <v>1</v>
      </c>
      <c r="H28" s="10">
        <v>1</v>
      </c>
      <c r="I28" s="12">
        <v>45645</v>
      </c>
      <c r="J28" s="14">
        <v>72417925</v>
      </c>
      <c r="K28" s="15">
        <v>68265549.99000001</v>
      </c>
      <c r="L28" s="16">
        <f t="shared" si="0"/>
        <v>0.9426609501722123</v>
      </c>
      <c r="M28" s="27" t="s">
        <v>71</v>
      </c>
      <c r="N28" s="26" t="s">
        <v>71</v>
      </c>
      <c r="O28" s="26" t="s">
        <v>71</v>
      </c>
      <c r="P28" s="26" t="s">
        <v>72</v>
      </c>
      <c r="Q28" s="26" t="s">
        <v>73</v>
      </c>
      <c r="R28" s="26" t="s">
        <v>74</v>
      </c>
    </row>
    <row r="29" spans="1:18">
      <c r="A29" s="1">
        <v>26</v>
      </c>
      <c r="B29" s="1">
        <v>2513466</v>
      </c>
      <c r="C29" s="2" t="s">
        <v>79</v>
      </c>
      <c r="D29" s="2" t="s">
        <v>80</v>
      </c>
      <c r="E29" s="2" t="s">
        <v>32</v>
      </c>
      <c r="F29" s="28" t="s">
        <v>21</v>
      </c>
      <c r="G29" s="8">
        <v>1</v>
      </c>
      <c r="H29" s="10">
        <v>1</v>
      </c>
      <c r="I29" s="12">
        <v>45895</v>
      </c>
      <c r="J29" s="14">
        <v>80452371</v>
      </c>
      <c r="K29" s="15">
        <v>71684486.50999999</v>
      </c>
      <c r="L29" s="16">
        <f t="shared" si="0"/>
        <v>0.89101769927949037</v>
      </c>
      <c r="M29" s="27" t="s">
        <v>71</v>
      </c>
      <c r="N29" s="26" t="s">
        <v>71</v>
      </c>
      <c r="O29" s="26" t="s">
        <v>71</v>
      </c>
      <c r="P29" s="26" t="s">
        <v>72</v>
      </c>
      <c r="Q29" s="26" t="s">
        <v>73</v>
      </c>
      <c r="R29" s="26" t="s">
        <v>74</v>
      </c>
    </row>
    <row r="30" spans="1:18">
      <c r="A30" s="1">
        <v>27</v>
      </c>
      <c r="B30" s="1">
        <v>2513024</v>
      </c>
      <c r="C30" s="2" t="s">
        <v>81</v>
      </c>
      <c r="D30" s="2" t="s">
        <v>82</v>
      </c>
      <c r="E30" s="2" t="s">
        <v>32</v>
      </c>
      <c r="F30" s="28" t="s">
        <v>83</v>
      </c>
      <c r="G30" s="8">
        <v>1</v>
      </c>
      <c r="H30" s="10">
        <v>0.91959999999999997</v>
      </c>
      <c r="I30" s="12">
        <v>46205</v>
      </c>
      <c r="J30" s="14">
        <v>83151527</v>
      </c>
      <c r="K30" s="15">
        <v>69692956.149999991</v>
      </c>
      <c r="L30" s="16">
        <f t="shared" si="0"/>
        <v>0.83814403252029268</v>
      </c>
      <c r="M30" s="27" t="s">
        <v>71</v>
      </c>
      <c r="N30" s="26" t="s">
        <v>71</v>
      </c>
      <c r="O30" s="26" t="s">
        <v>71</v>
      </c>
      <c r="P30" s="26" t="s">
        <v>84</v>
      </c>
      <c r="Q30" s="26" t="s">
        <v>85</v>
      </c>
      <c r="R30" s="26" t="s">
        <v>74</v>
      </c>
    </row>
    <row r="31" spans="1:18">
      <c r="A31" s="1">
        <v>28</v>
      </c>
      <c r="B31" s="1">
        <v>2428726</v>
      </c>
      <c r="C31" s="2" t="s">
        <v>86</v>
      </c>
      <c r="D31" s="2" t="s">
        <v>87</v>
      </c>
      <c r="E31" s="2" t="s">
        <v>32</v>
      </c>
      <c r="F31" s="28" t="s">
        <v>83</v>
      </c>
      <c r="G31" s="8">
        <v>1</v>
      </c>
      <c r="H31" s="10">
        <v>0.68579999999999997</v>
      </c>
      <c r="I31" s="12">
        <v>46240</v>
      </c>
      <c r="J31" s="14">
        <v>68214215</v>
      </c>
      <c r="K31" s="15">
        <v>52693600.730000004</v>
      </c>
      <c r="L31" s="16">
        <f t="shared" si="0"/>
        <v>0.77247243452116254</v>
      </c>
      <c r="M31" s="27" t="s">
        <v>71</v>
      </c>
      <c r="N31" s="26" t="s">
        <v>71</v>
      </c>
      <c r="O31" s="26" t="s">
        <v>71</v>
      </c>
      <c r="P31" s="26" t="s">
        <v>84</v>
      </c>
      <c r="Q31" s="26" t="s">
        <v>85</v>
      </c>
      <c r="R31" s="26" t="s">
        <v>74</v>
      </c>
    </row>
    <row r="32" spans="1:18">
      <c r="A32" s="1">
        <v>29</v>
      </c>
      <c r="B32" s="1">
        <v>2513467</v>
      </c>
      <c r="C32" s="2" t="s">
        <v>88</v>
      </c>
      <c r="D32" s="2" t="s">
        <v>89</v>
      </c>
      <c r="E32" s="2" t="s">
        <v>32</v>
      </c>
      <c r="F32" s="28" t="s">
        <v>83</v>
      </c>
      <c r="G32" s="8">
        <v>1</v>
      </c>
      <c r="H32" s="10">
        <v>0.80979999999999996</v>
      </c>
      <c r="I32" s="12">
        <v>46246</v>
      </c>
      <c r="J32" s="14">
        <v>75801159</v>
      </c>
      <c r="K32" s="15">
        <v>59460286.920000002</v>
      </c>
      <c r="L32" s="16">
        <f t="shared" si="0"/>
        <v>0.78442450886535919</v>
      </c>
      <c r="M32" s="27" t="s">
        <v>71</v>
      </c>
      <c r="N32" s="26" t="s">
        <v>71</v>
      </c>
      <c r="O32" s="26" t="s">
        <v>71</v>
      </c>
      <c r="P32" s="26" t="s">
        <v>84</v>
      </c>
      <c r="Q32" s="26" t="s">
        <v>85</v>
      </c>
      <c r="R32" s="26" t="s">
        <v>74</v>
      </c>
    </row>
    <row r="33" spans="1:18">
      <c r="A33" s="1">
        <v>30</v>
      </c>
      <c r="B33" s="1">
        <v>2428687</v>
      </c>
      <c r="C33" s="2" t="s">
        <v>90</v>
      </c>
      <c r="D33" s="2" t="s">
        <v>91</v>
      </c>
      <c r="E33" s="2" t="s">
        <v>92</v>
      </c>
      <c r="F33" s="28" t="s">
        <v>21</v>
      </c>
      <c r="G33" s="8">
        <v>1</v>
      </c>
      <c r="H33" s="10">
        <v>1</v>
      </c>
      <c r="I33" s="12">
        <v>45357</v>
      </c>
      <c r="J33" s="14">
        <v>44817332</v>
      </c>
      <c r="K33" s="15">
        <v>44188119.719999999</v>
      </c>
      <c r="L33" s="16">
        <f t="shared" si="0"/>
        <v>0.98596051456164324</v>
      </c>
      <c r="M33" s="27" t="s">
        <v>71</v>
      </c>
      <c r="N33" s="26" t="s">
        <v>71</v>
      </c>
      <c r="O33" s="26" t="s">
        <v>71</v>
      </c>
      <c r="P33" s="26" t="s">
        <v>72</v>
      </c>
      <c r="Q33" s="26" t="s">
        <v>73</v>
      </c>
      <c r="R33" s="26" t="s">
        <v>93</v>
      </c>
    </row>
    <row r="34" spans="1:18">
      <c r="A34" s="1">
        <v>31</v>
      </c>
      <c r="B34" s="1">
        <v>2428669</v>
      </c>
      <c r="C34" s="2" t="s">
        <v>94</v>
      </c>
      <c r="D34" s="2" t="s">
        <v>95</v>
      </c>
      <c r="E34" s="2" t="s">
        <v>92</v>
      </c>
      <c r="F34" s="28" t="s">
        <v>21</v>
      </c>
      <c r="G34" s="8">
        <v>1</v>
      </c>
      <c r="H34" s="10">
        <v>1</v>
      </c>
      <c r="I34" s="12">
        <v>45643</v>
      </c>
      <c r="J34" s="14">
        <v>66047267</v>
      </c>
      <c r="K34" s="15">
        <v>59725776.829999998</v>
      </c>
      <c r="L34" s="16">
        <f t="shared" si="0"/>
        <v>0.9042883913728027</v>
      </c>
      <c r="M34" s="27" t="s">
        <v>71</v>
      </c>
      <c r="N34" s="26" t="s">
        <v>71</v>
      </c>
      <c r="O34" s="26" t="s">
        <v>71</v>
      </c>
      <c r="P34" s="26" t="s">
        <v>72</v>
      </c>
      <c r="Q34" s="26" t="s">
        <v>73</v>
      </c>
      <c r="R34" s="26" t="s">
        <v>93</v>
      </c>
    </row>
    <row r="35" spans="1:18">
      <c r="A35" s="1">
        <v>32</v>
      </c>
      <c r="B35" s="1">
        <v>2428577</v>
      </c>
      <c r="C35" s="2" t="s">
        <v>96</v>
      </c>
      <c r="D35" s="2" t="s">
        <v>97</v>
      </c>
      <c r="E35" s="2" t="s">
        <v>20</v>
      </c>
      <c r="F35" s="28" t="s">
        <v>21</v>
      </c>
      <c r="G35" s="8">
        <v>1</v>
      </c>
      <c r="H35" s="10">
        <v>1</v>
      </c>
      <c r="I35" s="12">
        <v>45203</v>
      </c>
      <c r="J35" s="14">
        <v>46616227</v>
      </c>
      <c r="K35" s="15">
        <v>42926981.640000008</v>
      </c>
      <c r="L35" s="16">
        <f t="shared" si="0"/>
        <v>0.92085920295522861</v>
      </c>
      <c r="M35" s="27" t="s">
        <v>22</v>
      </c>
      <c r="N35" s="26" t="s">
        <v>22</v>
      </c>
      <c r="O35" s="26" t="s">
        <v>23</v>
      </c>
      <c r="P35" s="26" t="s">
        <v>23</v>
      </c>
      <c r="Q35" s="26" t="s">
        <v>23</v>
      </c>
      <c r="R35" s="26" t="s">
        <v>23</v>
      </c>
    </row>
    <row r="36" spans="1:18">
      <c r="A36" s="1">
        <v>33</v>
      </c>
      <c r="B36" s="1">
        <v>2428652</v>
      </c>
      <c r="C36" s="2" t="s">
        <v>98</v>
      </c>
      <c r="D36" s="2" t="s">
        <v>99</v>
      </c>
      <c r="E36" s="2" t="s">
        <v>20</v>
      </c>
      <c r="F36" s="28" t="s">
        <v>21</v>
      </c>
      <c r="G36" s="8">
        <v>1</v>
      </c>
      <c r="H36" s="10">
        <v>1</v>
      </c>
      <c r="I36" s="12">
        <v>45535</v>
      </c>
      <c r="J36" s="14">
        <v>81584795</v>
      </c>
      <c r="K36" s="15">
        <v>77448409.139999986</v>
      </c>
      <c r="L36" s="16">
        <f t="shared" si="0"/>
        <v>0.94929954950551731</v>
      </c>
      <c r="M36" s="27" t="s">
        <v>71</v>
      </c>
      <c r="N36" s="26" t="s">
        <v>71</v>
      </c>
      <c r="O36" s="26" t="s">
        <v>71</v>
      </c>
      <c r="P36" s="26" t="s">
        <v>72</v>
      </c>
      <c r="Q36" s="26" t="s">
        <v>73</v>
      </c>
      <c r="R36" s="26" t="s">
        <v>100</v>
      </c>
    </row>
    <row r="37" spans="1:18">
      <c r="A37" s="1">
        <v>34</v>
      </c>
      <c r="B37" s="1">
        <v>2428716</v>
      </c>
      <c r="C37" s="2" t="s">
        <v>101</v>
      </c>
      <c r="D37" s="2" t="s">
        <v>102</v>
      </c>
      <c r="E37" s="2" t="s">
        <v>103</v>
      </c>
      <c r="F37" s="28" t="s">
        <v>21</v>
      </c>
      <c r="G37" s="8">
        <v>1</v>
      </c>
      <c r="H37" s="10">
        <v>1</v>
      </c>
      <c r="I37" s="12">
        <v>45100</v>
      </c>
      <c r="J37" s="14">
        <v>42378882</v>
      </c>
      <c r="K37" s="15">
        <v>42124326.389999993</v>
      </c>
      <c r="L37" s="16">
        <f t="shared" si="0"/>
        <v>0.99399333823860647</v>
      </c>
      <c r="M37" s="27" t="s">
        <v>22</v>
      </c>
      <c r="N37" s="26" t="s">
        <v>22</v>
      </c>
      <c r="O37" s="26" t="s">
        <v>23</v>
      </c>
      <c r="P37" s="26" t="s">
        <v>23</v>
      </c>
      <c r="Q37" s="26" t="s">
        <v>23</v>
      </c>
      <c r="R37" s="26" t="s">
        <v>23</v>
      </c>
    </row>
    <row r="38" spans="1:18">
      <c r="A38" s="1">
        <v>35</v>
      </c>
      <c r="B38" s="1">
        <v>2428581</v>
      </c>
      <c r="C38" s="2" t="s">
        <v>104</v>
      </c>
      <c r="D38" s="2" t="s">
        <v>105</v>
      </c>
      <c r="E38" s="2" t="s">
        <v>103</v>
      </c>
      <c r="F38" s="28" t="s">
        <v>21</v>
      </c>
      <c r="G38" s="8">
        <v>1</v>
      </c>
      <c r="H38" s="10">
        <v>1</v>
      </c>
      <c r="I38" s="12">
        <v>45351</v>
      </c>
      <c r="J38" s="14">
        <v>40712821</v>
      </c>
      <c r="K38" s="15">
        <v>40389146.559999995</v>
      </c>
      <c r="L38" s="16">
        <f t="shared" si="0"/>
        <v>0.99204981546230842</v>
      </c>
      <c r="M38" s="27" t="s">
        <v>22</v>
      </c>
      <c r="N38" s="26" t="s">
        <v>71</v>
      </c>
      <c r="O38" s="26" t="s">
        <v>23</v>
      </c>
      <c r="P38" s="26" t="s">
        <v>22</v>
      </c>
      <c r="Q38" s="26" t="s">
        <v>106</v>
      </c>
      <c r="R38" s="26">
        <v>0</v>
      </c>
    </row>
    <row r="39" spans="1:18">
      <c r="A39" s="1">
        <v>36</v>
      </c>
      <c r="B39" s="1">
        <v>2513475</v>
      </c>
      <c r="C39" s="2" t="s">
        <v>107</v>
      </c>
      <c r="D39" s="2" t="s">
        <v>108</v>
      </c>
      <c r="E39" s="2" t="s">
        <v>103</v>
      </c>
      <c r="F39" s="28" t="s">
        <v>21</v>
      </c>
      <c r="G39" s="8">
        <v>1</v>
      </c>
      <c r="H39" s="10">
        <v>1</v>
      </c>
      <c r="I39" s="12">
        <v>45351</v>
      </c>
      <c r="J39" s="14">
        <v>67120255</v>
      </c>
      <c r="K39" s="15">
        <v>66593942.829999998</v>
      </c>
      <c r="L39" s="16">
        <f t="shared" si="0"/>
        <v>0.99215866849731127</v>
      </c>
      <c r="M39" s="27" t="s">
        <v>22</v>
      </c>
      <c r="N39" s="26" t="s">
        <v>22</v>
      </c>
      <c r="O39" s="26" t="s">
        <v>23</v>
      </c>
      <c r="P39" s="26" t="s">
        <v>23</v>
      </c>
      <c r="Q39" s="26" t="s">
        <v>23</v>
      </c>
      <c r="R39" s="26" t="s">
        <v>23</v>
      </c>
    </row>
    <row r="40" spans="1:18">
      <c r="A40" s="1">
        <v>37</v>
      </c>
      <c r="B40" s="1">
        <v>2428627</v>
      </c>
      <c r="C40" s="2" t="s">
        <v>109</v>
      </c>
      <c r="D40" s="2" t="s">
        <v>110</v>
      </c>
      <c r="E40" s="2" t="s">
        <v>103</v>
      </c>
      <c r="F40" s="28" t="s">
        <v>21</v>
      </c>
      <c r="G40" s="8">
        <v>1</v>
      </c>
      <c r="H40" s="10">
        <v>1</v>
      </c>
      <c r="I40" s="12">
        <v>45348</v>
      </c>
      <c r="J40" s="14">
        <v>42257348</v>
      </c>
      <c r="K40" s="15">
        <v>39578545.859999999</v>
      </c>
      <c r="L40" s="16">
        <f t="shared" si="0"/>
        <v>0.93660742411000331</v>
      </c>
      <c r="M40" s="27" t="s">
        <v>71</v>
      </c>
      <c r="N40" s="26" t="s">
        <v>71</v>
      </c>
      <c r="O40" s="26" t="s">
        <v>71</v>
      </c>
      <c r="P40" s="26" t="s">
        <v>72</v>
      </c>
      <c r="Q40" s="26" t="s">
        <v>73</v>
      </c>
      <c r="R40" s="26" t="s">
        <v>111</v>
      </c>
    </row>
    <row r="41" spans="1:18">
      <c r="A41" s="1">
        <v>38</v>
      </c>
      <c r="B41" s="1">
        <v>2428578</v>
      </c>
      <c r="C41" s="2" t="s">
        <v>112</v>
      </c>
      <c r="D41" s="2" t="s">
        <v>113</v>
      </c>
      <c r="E41" s="2" t="s">
        <v>103</v>
      </c>
      <c r="F41" s="28" t="s">
        <v>21</v>
      </c>
      <c r="G41" s="8">
        <v>1</v>
      </c>
      <c r="H41" s="10">
        <v>1</v>
      </c>
      <c r="I41" s="12">
        <v>45405</v>
      </c>
      <c r="J41" s="14">
        <v>50159868</v>
      </c>
      <c r="K41" s="15">
        <v>49432920.810000002</v>
      </c>
      <c r="L41" s="16">
        <f t="shared" si="0"/>
        <v>0.98550739427783185</v>
      </c>
      <c r="M41" s="27" t="s">
        <v>71</v>
      </c>
      <c r="N41" s="26" t="s">
        <v>71</v>
      </c>
      <c r="O41" s="26" t="s">
        <v>71</v>
      </c>
      <c r="P41" s="26" t="s">
        <v>72</v>
      </c>
      <c r="Q41" s="26" t="s">
        <v>73</v>
      </c>
      <c r="R41" s="26" t="s">
        <v>111</v>
      </c>
    </row>
    <row r="42" spans="1:18">
      <c r="A42" s="1">
        <v>39</v>
      </c>
      <c r="B42" s="1">
        <v>2513474</v>
      </c>
      <c r="C42" s="2" t="s">
        <v>114</v>
      </c>
      <c r="D42" s="2" t="s">
        <v>115</v>
      </c>
      <c r="E42" s="2" t="s">
        <v>103</v>
      </c>
      <c r="F42" s="28" t="s">
        <v>21</v>
      </c>
      <c r="G42" s="8">
        <v>1</v>
      </c>
      <c r="H42" s="10">
        <v>1</v>
      </c>
      <c r="I42" s="12">
        <v>45439</v>
      </c>
      <c r="J42" s="14">
        <v>46676328</v>
      </c>
      <c r="K42" s="15">
        <v>46401240.300000004</v>
      </c>
      <c r="L42" s="16">
        <f t="shared" si="0"/>
        <v>0.99410648369768939</v>
      </c>
      <c r="M42" s="27" t="s">
        <v>71</v>
      </c>
      <c r="N42" s="26" t="s">
        <v>71</v>
      </c>
      <c r="O42" s="26" t="s">
        <v>71</v>
      </c>
      <c r="P42" s="26" t="s">
        <v>72</v>
      </c>
      <c r="Q42" s="26" t="s">
        <v>73</v>
      </c>
      <c r="R42" s="26" t="s">
        <v>111</v>
      </c>
    </row>
    <row r="43" spans="1:18">
      <c r="A43" s="1">
        <v>40</v>
      </c>
      <c r="B43" s="1">
        <v>2428585</v>
      </c>
      <c r="C43" s="2" t="s">
        <v>116</v>
      </c>
      <c r="D43" s="2" t="s">
        <v>117</v>
      </c>
      <c r="E43" s="2" t="s">
        <v>103</v>
      </c>
      <c r="F43" s="28" t="s">
        <v>21</v>
      </c>
      <c r="G43" s="8">
        <v>1</v>
      </c>
      <c r="H43" s="10">
        <v>1</v>
      </c>
      <c r="I43" s="12">
        <v>45468</v>
      </c>
      <c r="J43" s="14">
        <v>53283791</v>
      </c>
      <c r="K43" s="15">
        <v>52936200.86999999</v>
      </c>
      <c r="L43" s="16">
        <f t="shared" si="0"/>
        <v>0.9934766253774997</v>
      </c>
      <c r="M43" s="27" t="s">
        <v>71</v>
      </c>
      <c r="N43" s="26" t="s">
        <v>71</v>
      </c>
      <c r="O43" s="26" t="s">
        <v>71</v>
      </c>
      <c r="P43" s="26" t="s">
        <v>72</v>
      </c>
      <c r="Q43" s="26" t="s">
        <v>73</v>
      </c>
      <c r="R43" s="26" t="s">
        <v>111</v>
      </c>
    </row>
    <row r="44" spans="1:18">
      <c r="A44" s="1">
        <v>41</v>
      </c>
      <c r="B44" s="1">
        <v>2428584</v>
      </c>
      <c r="C44" s="2" t="s">
        <v>118</v>
      </c>
      <c r="D44" s="2" t="s">
        <v>119</v>
      </c>
      <c r="E44" s="2" t="s">
        <v>103</v>
      </c>
      <c r="F44" s="28" t="s">
        <v>21</v>
      </c>
      <c r="G44" s="8">
        <v>1</v>
      </c>
      <c r="H44" s="10">
        <v>1</v>
      </c>
      <c r="I44" s="12">
        <v>45495</v>
      </c>
      <c r="J44" s="14">
        <v>57114555</v>
      </c>
      <c r="K44" s="15">
        <v>55635910.409999996</v>
      </c>
      <c r="L44" s="16">
        <f t="shared" si="0"/>
        <v>0.97411089712596022</v>
      </c>
      <c r="M44" s="27" t="s">
        <v>71</v>
      </c>
      <c r="N44" s="26" t="s">
        <v>71</v>
      </c>
      <c r="O44" s="26" t="s">
        <v>71</v>
      </c>
      <c r="P44" s="26" t="s">
        <v>72</v>
      </c>
      <c r="Q44" s="26" t="s">
        <v>73</v>
      </c>
      <c r="R44" s="26" t="s">
        <v>111</v>
      </c>
    </row>
    <row r="45" spans="1:18">
      <c r="A45" s="1">
        <v>42</v>
      </c>
      <c r="B45" s="1">
        <v>2428635</v>
      </c>
      <c r="C45" s="2" t="s">
        <v>120</v>
      </c>
      <c r="D45" s="2" t="s">
        <v>121</v>
      </c>
      <c r="E45" s="2" t="s">
        <v>103</v>
      </c>
      <c r="F45" s="28" t="s">
        <v>21</v>
      </c>
      <c r="G45" s="8">
        <v>1</v>
      </c>
      <c r="H45" s="10">
        <v>1</v>
      </c>
      <c r="I45" s="12">
        <v>45631</v>
      </c>
      <c r="J45" s="14">
        <v>115938381</v>
      </c>
      <c r="K45" s="15">
        <v>108167858.76000002</v>
      </c>
      <c r="L45" s="16">
        <f t="shared" si="0"/>
        <v>0.9329771368810128</v>
      </c>
      <c r="M45" s="27" t="s">
        <v>71</v>
      </c>
      <c r="N45" s="26" t="s">
        <v>71</v>
      </c>
      <c r="O45" s="26" t="s">
        <v>71</v>
      </c>
      <c r="P45" s="26" t="s">
        <v>72</v>
      </c>
      <c r="Q45" s="26" t="s">
        <v>73</v>
      </c>
      <c r="R45" s="26" t="s">
        <v>111</v>
      </c>
    </row>
    <row r="46" spans="1:18">
      <c r="A46" s="1">
        <v>43</v>
      </c>
      <c r="B46" s="1">
        <v>2428588</v>
      </c>
      <c r="C46" s="2" t="s">
        <v>122</v>
      </c>
      <c r="D46" s="2" t="s">
        <v>123</v>
      </c>
      <c r="E46" s="2" t="s">
        <v>103</v>
      </c>
      <c r="F46" s="28" t="s">
        <v>21</v>
      </c>
      <c r="G46" s="8">
        <v>1</v>
      </c>
      <c r="H46" s="10">
        <v>1</v>
      </c>
      <c r="I46" s="12">
        <v>45653</v>
      </c>
      <c r="J46" s="14">
        <v>87858100</v>
      </c>
      <c r="K46" s="15">
        <v>86586572.63000001</v>
      </c>
      <c r="L46" s="16">
        <f t="shared" si="0"/>
        <v>0.98552748841597992</v>
      </c>
      <c r="M46" s="27" t="s">
        <v>71</v>
      </c>
      <c r="N46" s="26" t="s">
        <v>71</v>
      </c>
      <c r="O46" s="26" t="s">
        <v>71</v>
      </c>
      <c r="P46" s="26" t="s">
        <v>72</v>
      </c>
      <c r="Q46" s="26" t="s">
        <v>73</v>
      </c>
      <c r="R46" s="26" t="s">
        <v>111</v>
      </c>
    </row>
    <row r="47" spans="1:18">
      <c r="A47" s="1">
        <v>44</v>
      </c>
      <c r="B47" s="1">
        <v>2513470</v>
      </c>
      <c r="C47" s="2" t="s">
        <v>124</v>
      </c>
      <c r="D47" s="2" t="s">
        <v>125</v>
      </c>
      <c r="E47" s="2" t="s">
        <v>103</v>
      </c>
      <c r="F47" s="28" t="s">
        <v>21</v>
      </c>
      <c r="G47" s="8">
        <v>1</v>
      </c>
      <c r="H47" s="10">
        <v>1</v>
      </c>
      <c r="I47" s="12">
        <v>45891</v>
      </c>
      <c r="J47" s="14">
        <v>121564713</v>
      </c>
      <c r="K47" s="15">
        <v>113750311.95</v>
      </c>
      <c r="L47" s="16">
        <f t="shared" si="0"/>
        <v>0.93571817958390613</v>
      </c>
      <c r="M47" s="27" t="s">
        <v>71</v>
      </c>
      <c r="N47" s="26" t="s">
        <v>71</v>
      </c>
      <c r="O47" s="26" t="s">
        <v>71</v>
      </c>
      <c r="P47" s="26" t="s">
        <v>72</v>
      </c>
      <c r="Q47" s="26" t="s">
        <v>73</v>
      </c>
      <c r="R47" s="26" t="s">
        <v>111</v>
      </c>
    </row>
    <row r="48" spans="1:18">
      <c r="A48" s="1">
        <v>45</v>
      </c>
      <c r="B48" s="1">
        <v>2515005</v>
      </c>
      <c r="C48" s="2" t="s">
        <v>126</v>
      </c>
      <c r="D48" s="2" t="s">
        <v>127</v>
      </c>
      <c r="E48" s="2" t="s">
        <v>32</v>
      </c>
      <c r="F48" s="28" t="s">
        <v>21</v>
      </c>
      <c r="G48" s="8">
        <v>1</v>
      </c>
      <c r="H48" s="10">
        <v>1</v>
      </c>
      <c r="I48" s="12">
        <v>45098</v>
      </c>
      <c r="J48" s="14">
        <v>21698603</v>
      </c>
      <c r="K48" s="15">
        <v>21453729.59</v>
      </c>
      <c r="L48" s="16">
        <f t="shared" si="0"/>
        <v>0.98871478454165918</v>
      </c>
      <c r="M48" s="27" t="s">
        <v>22</v>
      </c>
      <c r="N48" s="26" t="s">
        <v>22</v>
      </c>
      <c r="O48" s="26" t="s">
        <v>23</v>
      </c>
      <c r="P48" s="26" t="s">
        <v>23</v>
      </c>
      <c r="Q48" s="26" t="s">
        <v>23</v>
      </c>
      <c r="R48" s="26" t="s">
        <v>23</v>
      </c>
    </row>
    <row r="49" spans="1:18">
      <c r="A49" s="1">
        <v>46</v>
      </c>
      <c r="B49" s="1">
        <v>2428689</v>
      </c>
      <c r="C49" s="2" t="s">
        <v>128</v>
      </c>
      <c r="D49" s="2" t="s">
        <v>129</v>
      </c>
      <c r="E49" s="2" t="s">
        <v>32</v>
      </c>
      <c r="F49" s="28" t="s">
        <v>21</v>
      </c>
      <c r="G49" s="8">
        <v>1</v>
      </c>
      <c r="H49" s="10">
        <v>1</v>
      </c>
      <c r="I49" s="12">
        <v>45437</v>
      </c>
      <c r="J49" s="14">
        <v>68659923</v>
      </c>
      <c r="K49" s="15">
        <v>67686743.549999997</v>
      </c>
      <c r="L49" s="16">
        <f t="shared" si="0"/>
        <v>0.98582609173622282</v>
      </c>
      <c r="M49" s="27" t="s">
        <v>22</v>
      </c>
      <c r="N49" s="26" t="s">
        <v>71</v>
      </c>
      <c r="O49" s="26" t="s">
        <v>23</v>
      </c>
      <c r="P49" s="26" t="s">
        <v>22</v>
      </c>
      <c r="Q49" s="26" t="s">
        <v>106</v>
      </c>
      <c r="R49" s="26">
        <v>0</v>
      </c>
    </row>
    <row r="50" spans="1:18">
      <c r="A50" s="1">
        <v>47</v>
      </c>
      <c r="B50" s="1">
        <v>2514106</v>
      </c>
      <c r="C50" s="2" t="s">
        <v>130</v>
      </c>
      <c r="D50" s="2" t="s">
        <v>131</v>
      </c>
      <c r="E50" s="2" t="s">
        <v>32</v>
      </c>
      <c r="F50" s="28" t="s">
        <v>21</v>
      </c>
      <c r="G50" s="8">
        <v>1</v>
      </c>
      <c r="H50" s="10">
        <v>1</v>
      </c>
      <c r="I50" s="12">
        <v>45437</v>
      </c>
      <c r="J50" s="14">
        <v>91931900</v>
      </c>
      <c r="K50" s="15">
        <v>91367794.760000005</v>
      </c>
      <c r="L50" s="16">
        <f t="shared" si="0"/>
        <v>0.99386387924104691</v>
      </c>
      <c r="M50" s="27" t="s">
        <v>22</v>
      </c>
      <c r="N50" s="26" t="s">
        <v>71</v>
      </c>
      <c r="O50" s="26" t="s">
        <v>23</v>
      </c>
      <c r="P50" s="26" t="s">
        <v>22</v>
      </c>
      <c r="Q50" s="26" t="s">
        <v>106</v>
      </c>
      <c r="R50" s="26">
        <v>0</v>
      </c>
    </row>
    <row r="51" spans="1:18">
      <c r="A51" s="1">
        <v>48</v>
      </c>
      <c r="B51" s="1">
        <v>2428686</v>
      </c>
      <c r="C51" s="2" t="s">
        <v>132</v>
      </c>
      <c r="D51" s="2" t="s">
        <v>133</v>
      </c>
      <c r="E51" s="2" t="s">
        <v>32</v>
      </c>
      <c r="F51" s="28" t="s">
        <v>21</v>
      </c>
      <c r="G51" s="8">
        <v>1</v>
      </c>
      <c r="H51" s="10">
        <v>1</v>
      </c>
      <c r="I51" s="12">
        <v>45574</v>
      </c>
      <c r="J51" s="14">
        <v>79501570</v>
      </c>
      <c r="K51" s="15">
        <v>77008561.010000005</v>
      </c>
      <c r="L51" s="16">
        <f t="shared" si="0"/>
        <v>0.96864201562308772</v>
      </c>
      <c r="M51" s="27" t="s">
        <v>71</v>
      </c>
      <c r="N51" s="26" t="s">
        <v>71</v>
      </c>
      <c r="O51" s="26" t="s">
        <v>71</v>
      </c>
      <c r="P51" s="26" t="s">
        <v>72</v>
      </c>
      <c r="Q51" s="26" t="s">
        <v>73</v>
      </c>
      <c r="R51" s="26" t="s">
        <v>74</v>
      </c>
    </row>
    <row r="52" spans="1:18">
      <c r="A52" s="1">
        <v>49</v>
      </c>
      <c r="B52" s="1">
        <v>2515636</v>
      </c>
      <c r="C52" s="2" t="s">
        <v>134</v>
      </c>
      <c r="D52" s="2" t="s">
        <v>135</v>
      </c>
      <c r="E52" s="2" t="s">
        <v>32</v>
      </c>
      <c r="F52" s="28" t="s">
        <v>21</v>
      </c>
      <c r="G52" s="8">
        <v>1</v>
      </c>
      <c r="H52" s="10">
        <v>1</v>
      </c>
      <c r="I52" s="12">
        <v>45638</v>
      </c>
      <c r="J52" s="14">
        <v>82596178</v>
      </c>
      <c r="K52" s="15">
        <v>77381042.24000001</v>
      </c>
      <c r="L52" s="16">
        <f t="shared" si="0"/>
        <v>0.93685984162608604</v>
      </c>
      <c r="M52" s="27" t="s">
        <v>71</v>
      </c>
      <c r="N52" s="26" t="s">
        <v>71</v>
      </c>
      <c r="O52" s="26" t="s">
        <v>71</v>
      </c>
      <c r="P52" s="26" t="s">
        <v>72</v>
      </c>
      <c r="Q52" s="26" t="s">
        <v>73</v>
      </c>
      <c r="R52" s="26" t="s">
        <v>74</v>
      </c>
    </row>
    <row r="53" spans="1:18">
      <c r="A53" s="1">
        <v>50</v>
      </c>
      <c r="B53" s="1">
        <v>2513476</v>
      </c>
      <c r="C53" s="2" t="s">
        <v>136</v>
      </c>
      <c r="D53" s="2" t="s">
        <v>137</v>
      </c>
      <c r="E53" s="2" t="s">
        <v>32</v>
      </c>
      <c r="F53" s="28" t="s">
        <v>21</v>
      </c>
      <c r="G53" s="8">
        <v>1</v>
      </c>
      <c r="H53" s="10">
        <v>1</v>
      </c>
      <c r="I53" s="12">
        <v>45746</v>
      </c>
      <c r="J53" s="14">
        <v>125298167</v>
      </c>
      <c r="K53" s="15">
        <v>118591197.53</v>
      </c>
      <c r="L53" s="16">
        <f t="shared" si="0"/>
        <v>0.94647192668030011</v>
      </c>
      <c r="M53" s="27" t="s">
        <v>71</v>
      </c>
      <c r="N53" s="26" t="s">
        <v>71</v>
      </c>
      <c r="O53" s="26" t="s">
        <v>71</v>
      </c>
      <c r="P53" s="26" t="s">
        <v>72</v>
      </c>
      <c r="Q53" s="26" t="s">
        <v>73</v>
      </c>
      <c r="R53" s="26" t="s">
        <v>74</v>
      </c>
    </row>
    <row r="54" spans="1:18">
      <c r="A54" s="1">
        <v>51</v>
      </c>
      <c r="B54" s="1">
        <v>2509290</v>
      </c>
      <c r="C54" s="2" t="s">
        <v>138</v>
      </c>
      <c r="D54" s="2" t="s">
        <v>139</v>
      </c>
      <c r="E54" s="2" t="s">
        <v>140</v>
      </c>
      <c r="F54" s="28" t="s">
        <v>21</v>
      </c>
      <c r="G54" s="8">
        <v>1</v>
      </c>
      <c r="H54" s="10">
        <v>1</v>
      </c>
      <c r="I54" s="12">
        <v>45636</v>
      </c>
      <c r="J54" s="14">
        <v>54839784</v>
      </c>
      <c r="K54" s="15">
        <v>52589517.530000001</v>
      </c>
      <c r="L54" s="16">
        <f t="shared" si="0"/>
        <v>0.95896653294622758</v>
      </c>
      <c r="M54" s="27" t="s">
        <v>71</v>
      </c>
      <c r="N54" s="26" t="s">
        <v>71</v>
      </c>
      <c r="O54" s="26" t="s">
        <v>71</v>
      </c>
      <c r="P54" s="26" t="s">
        <v>72</v>
      </c>
      <c r="Q54" s="26" t="s">
        <v>73</v>
      </c>
      <c r="R54" s="26" t="s">
        <v>141</v>
      </c>
    </row>
    <row r="55" spans="1:18">
      <c r="A55" s="1">
        <v>52</v>
      </c>
      <c r="B55" s="1">
        <v>2428765</v>
      </c>
      <c r="C55" s="2" t="s">
        <v>142</v>
      </c>
      <c r="D55" s="2" t="s">
        <v>143</v>
      </c>
      <c r="E55" s="2" t="s">
        <v>144</v>
      </c>
      <c r="F55" s="28" t="s">
        <v>21</v>
      </c>
      <c r="G55" s="8">
        <v>1</v>
      </c>
      <c r="H55" s="10">
        <v>1</v>
      </c>
      <c r="I55" s="12">
        <v>45518</v>
      </c>
      <c r="J55" s="14">
        <v>68212773</v>
      </c>
      <c r="K55" s="15">
        <v>68056874.460000008</v>
      </c>
      <c r="L55" s="16">
        <f t="shared" si="0"/>
        <v>0.99771452569447672</v>
      </c>
      <c r="M55" s="27" t="s">
        <v>71</v>
      </c>
      <c r="N55" s="26" t="s">
        <v>71</v>
      </c>
      <c r="O55" s="26" t="s">
        <v>71</v>
      </c>
      <c r="P55" s="26" t="s">
        <v>72</v>
      </c>
      <c r="Q55" s="26" t="s">
        <v>73</v>
      </c>
      <c r="R55" s="26" t="s">
        <v>145</v>
      </c>
    </row>
    <row r="56" spans="1:18">
      <c r="A56" s="1">
        <v>53</v>
      </c>
      <c r="B56" s="1">
        <v>2428747</v>
      </c>
      <c r="C56" s="2" t="s">
        <v>146</v>
      </c>
      <c r="D56" s="2" t="s">
        <v>147</v>
      </c>
      <c r="E56" s="2" t="s">
        <v>144</v>
      </c>
      <c r="F56" s="28" t="s">
        <v>21</v>
      </c>
      <c r="G56" s="8">
        <v>1</v>
      </c>
      <c r="H56" s="10">
        <v>1</v>
      </c>
      <c r="I56" s="12">
        <v>45708</v>
      </c>
      <c r="J56" s="14">
        <v>91670310</v>
      </c>
      <c r="K56" s="15">
        <v>91151623.440000013</v>
      </c>
      <c r="L56" s="16">
        <f t="shared" si="0"/>
        <v>0.99434182605033206</v>
      </c>
      <c r="M56" s="27" t="s">
        <v>71</v>
      </c>
      <c r="N56" s="26" t="s">
        <v>71</v>
      </c>
      <c r="O56" s="26" t="s">
        <v>71</v>
      </c>
      <c r="P56" s="26" t="s">
        <v>72</v>
      </c>
      <c r="Q56" s="26" t="s">
        <v>73</v>
      </c>
      <c r="R56" s="26" t="s">
        <v>145</v>
      </c>
    </row>
    <row r="57" spans="1:18">
      <c r="A57" s="1">
        <v>54</v>
      </c>
      <c r="B57" s="1">
        <v>2513473</v>
      </c>
      <c r="C57" s="2" t="s">
        <v>148</v>
      </c>
      <c r="D57" s="2" t="s">
        <v>149</v>
      </c>
      <c r="E57" s="2" t="s">
        <v>20</v>
      </c>
      <c r="F57" s="28" t="s">
        <v>21</v>
      </c>
      <c r="G57" s="8">
        <v>1</v>
      </c>
      <c r="H57" s="10">
        <v>1</v>
      </c>
      <c r="I57" s="12">
        <v>45211</v>
      </c>
      <c r="J57" s="14">
        <v>46104081</v>
      </c>
      <c r="K57" s="15">
        <v>44762061.240000002</v>
      </c>
      <c r="L57" s="16">
        <f t="shared" si="0"/>
        <v>0.9708915191260401</v>
      </c>
      <c r="M57" s="27" t="s">
        <v>22</v>
      </c>
      <c r="N57" s="26" t="s">
        <v>22</v>
      </c>
      <c r="O57" s="26" t="s">
        <v>23</v>
      </c>
      <c r="P57" s="26" t="s">
        <v>23</v>
      </c>
      <c r="Q57" s="26" t="s">
        <v>23</v>
      </c>
      <c r="R57" s="26" t="s">
        <v>23</v>
      </c>
    </row>
    <row r="58" spans="1:18">
      <c r="A58" s="1">
        <v>55</v>
      </c>
      <c r="B58" s="1">
        <v>2513465</v>
      </c>
      <c r="C58" s="2" t="s">
        <v>150</v>
      </c>
      <c r="D58" s="2" t="s">
        <v>151</v>
      </c>
      <c r="E58" s="2" t="s">
        <v>20</v>
      </c>
      <c r="F58" s="28" t="s">
        <v>21</v>
      </c>
      <c r="G58" s="8">
        <v>1</v>
      </c>
      <c r="H58" s="10">
        <v>1</v>
      </c>
      <c r="I58" s="12">
        <v>45322</v>
      </c>
      <c r="J58" s="14">
        <v>66870381</v>
      </c>
      <c r="K58" s="15">
        <v>65425224.25</v>
      </c>
      <c r="L58" s="16">
        <f t="shared" si="0"/>
        <v>0.97838868676402491</v>
      </c>
      <c r="M58" s="27" t="s">
        <v>71</v>
      </c>
      <c r="N58" s="26" t="s">
        <v>71</v>
      </c>
      <c r="O58" s="26" t="s">
        <v>71</v>
      </c>
      <c r="P58" s="26" t="s">
        <v>72</v>
      </c>
      <c r="Q58" s="26" t="s">
        <v>73</v>
      </c>
      <c r="R58" s="26" t="s">
        <v>100</v>
      </c>
    </row>
    <row r="59" spans="1:18">
      <c r="A59" s="1">
        <v>56</v>
      </c>
      <c r="B59" s="1">
        <v>2428628</v>
      </c>
      <c r="C59" s="2" t="s">
        <v>152</v>
      </c>
      <c r="D59" s="2" t="s">
        <v>153</v>
      </c>
      <c r="E59" s="2" t="s">
        <v>103</v>
      </c>
      <c r="F59" s="28" t="s">
        <v>21</v>
      </c>
      <c r="G59" s="8">
        <v>1</v>
      </c>
      <c r="H59" s="10">
        <v>1</v>
      </c>
      <c r="I59" s="12">
        <v>44915</v>
      </c>
      <c r="J59" s="14">
        <v>47419006</v>
      </c>
      <c r="K59" s="15">
        <v>46034237.890000001</v>
      </c>
      <c r="L59" s="16">
        <f t="shared" si="0"/>
        <v>0.97079719237471995</v>
      </c>
      <c r="M59" s="27" t="s">
        <v>22</v>
      </c>
      <c r="N59" s="26" t="s">
        <v>22</v>
      </c>
      <c r="O59" s="26" t="s">
        <v>23</v>
      </c>
      <c r="P59" s="26" t="s">
        <v>23</v>
      </c>
      <c r="Q59" s="26" t="s">
        <v>23</v>
      </c>
      <c r="R59" s="26" t="s">
        <v>23</v>
      </c>
    </row>
    <row r="60" spans="1:18">
      <c r="A60" s="1">
        <v>57</v>
      </c>
      <c r="B60" s="1">
        <v>2515563</v>
      </c>
      <c r="C60" s="2" t="s">
        <v>154</v>
      </c>
      <c r="D60" s="2" t="s">
        <v>155</v>
      </c>
      <c r="E60" s="2" t="s">
        <v>103</v>
      </c>
      <c r="F60" s="28" t="s">
        <v>21</v>
      </c>
      <c r="G60" s="8">
        <v>1</v>
      </c>
      <c r="H60" s="10">
        <v>1</v>
      </c>
      <c r="I60" s="12">
        <v>45076</v>
      </c>
      <c r="J60" s="14">
        <v>44933921</v>
      </c>
      <c r="K60" s="15">
        <v>42386945.090000004</v>
      </c>
      <c r="L60" s="16">
        <f t="shared" si="0"/>
        <v>0.9433173011987982</v>
      </c>
      <c r="M60" s="27" t="s">
        <v>22</v>
      </c>
      <c r="N60" s="26" t="s">
        <v>22</v>
      </c>
      <c r="O60" s="26" t="s">
        <v>23</v>
      </c>
      <c r="P60" s="26" t="s">
        <v>23</v>
      </c>
      <c r="Q60" s="26" t="s">
        <v>23</v>
      </c>
      <c r="R60" s="26" t="s">
        <v>23</v>
      </c>
    </row>
    <row r="61" spans="1:18">
      <c r="A61" s="1">
        <v>58</v>
      </c>
      <c r="B61" s="1">
        <v>2428651</v>
      </c>
      <c r="C61" s="2" t="s">
        <v>156</v>
      </c>
      <c r="D61" s="2" t="s">
        <v>157</v>
      </c>
      <c r="E61" s="2" t="s">
        <v>64</v>
      </c>
      <c r="F61" s="28" t="s">
        <v>21</v>
      </c>
      <c r="G61" s="8">
        <v>1</v>
      </c>
      <c r="H61" s="10">
        <v>1</v>
      </c>
      <c r="I61" s="12">
        <v>44991</v>
      </c>
      <c r="J61" s="14">
        <v>159432352</v>
      </c>
      <c r="K61" s="15">
        <v>156162406.38</v>
      </c>
      <c r="L61" s="16">
        <f t="shared" si="0"/>
        <v>0.97949007476224148</v>
      </c>
      <c r="M61" s="27" t="s">
        <v>22</v>
      </c>
      <c r="N61" s="26" t="s">
        <v>22</v>
      </c>
      <c r="O61" s="26" t="s">
        <v>23</v>
      </c>
      <c r="P61" s="26" t="s">
        <v>23</v>
      </c>
      <c r="Q61" s="26" t="s">
        <v>23</v>
      </c>
      <c r="R61" s="26" t="s">
        <v>23</v>
      </c>
    </row>
    <row r="62" spans="1:18">
      <c r="A62" s="1">
        <v>59</v>
      </c>
      <c r="B62" s="1">
        <v>2428725</v>
      </c>
      <c r="C62" s="2" t="s">
        <v>158</v>
      </c>
      <c r="D62" s="2" t="s">
        <v>159</v>
      </c>
      <c r="E62" s="2" t="s">
        <v>103</v>
      </c>
      <c r="F62" s="28" t="s">
        <v>21</v>
      </c>
      <c r="G62" s="8">
        <v>1</v>
      </c>
      <c r="H62" s="10">
        <v>1</v>
      </c>
      <c r="I62" s="12">
        <v>45344</v>
      </c>
      <c r="J62" s="14">
        <v>53631933</v>
      </c>
      <c r="K62" s="15">
        <v>53345178.890000001</v>
      </c>
      <c r="L62" s="16">
        <f t="shared" si="0"/>
        <v>0.99465329526720581</v>
      </c>
      <c r="M62" s="27" t="s">
        <v>71</v>
      </c>
      <c r="N62" s="26" t="s">
        <v>71</v>
      </c>
      <c r="O62" s="26" t="s">
        <v>71</v>
      </c>
      <c r="P62" s="26" t="s">
        <v>72</v>
      </c>
      <c r="Q62" s="26" t="s">
        <v>73</v>
      </c>
      <c r="R62" s="26" t="s">
        <v>111</v>
      </c>
    </row>
    <row r="63" spans="1:18">
      <c r="A63" s="1">
        <v>60</v>
      </c>
      <c r="B63" s="1">
        <v>2503358</v>
      </c>
      <c r="C63" s="2" t="s">
        <v>160</v>
      </c>
      <c r="D63" s="2" t="s">
        <v>161</v>
      </c>
      <c r="E63" s="2" t="s">
        <v>103</v>
      </c>
      <c r="F63" s="28" t="s">
        <v>21</v>
      </c>
      <c r="G63" s="8">
        <v>1</v>
      </c>
      <c r="H63" s="10">
        <v>1</v>
      </c>
      <c r="I63" s="12">
        <v>45593</v>
      </c>
      <c r="J63" s="14">
        <v>76988053</v>
      </c>
      <c r="K63" s="15">
        <v>75459698.590000004</v>
      </c>
      <c r="L63" s="16">
        <f t="shared" si="0"/>
        <v>0.98014816129977989</v>
      </c>
      <c r="M63" s="27" t="s">
        <v>71</v>
      </c>
      <c r="N63" s="26" t="s">
        <v>71</v>
      </c>
      <c r="O63" s="26" t="s">
        <v>71</v>
      </c>
      <c r="P63" s="26" t="s">
        <v>72</v>
      </c>
      <c r="Q63" s="26" t="s">
        <v>73</v>
      </c>
      <c r="R63" s="26" t="s">
        <v>111</v>
      </c>
    </row>
    <row r="64" spans="1:18">
      <c r="A64" s="1">
        <v>61</v>
      </c>
      <c r="B64" s="1">
        <v>2503622</v>
      </c>
      <c r="C64" s="2" t="s">
        <v>162</v>
      </c>
      <c r="D64" s="2" t="s">
        <v>163</v>
      </c>
      <c r="E64" s="2" t="s">
        <v>103</v>
      </c>
      <c r="F64" s="28" t="s">
        <v>21</v>
      </c>
      <c r="G64" s="8">
        <v>1</v>
      </c>
      <c r="H64" s="10">
        <v>1</v>
      </c>
      <c r="I64" s="12">
        <v>45604</v>
      </c>
      <c r="J64" s="14">
        <v>47085900</v>
      </c>
      <c r="K64" s="15">
        <v>44888213.899999999</v>
      </c>
      <c r="L64" s="16">
        <f t="shared" si="0"/>
        <v>0.95332602541312794</v>
      </c>
      <c r="M64" s="27" t="s">
        <v>71</v>
      </c>
      <c r="N64" s="26" t="s">
        <v>71</v>
      </c>
      <c r="O64" s="26" t="s">
        <v>71</v>
      </c>
      <c r="P64" s="26" t="s">
        <v>72</v>
      </c>
      <c r="Q64" s="26" t="s">
        <v>73</v>
      </c>
      <c r="R64" s="26" t="s">
        <v>111</v>
      </c>
    </row>
    <row r="65" spans="1:18">
      <c r="A65" s="1">
        <v>62</v>
      </c>
      <c r="B65" s="1">
        <v>2502993</v>
      </c>
      <c r="C65" s="2" t="s">
        <v>164</v>
      </c>
      <c r="D65" s="2" t="s">
        <v>165</v>
      </c>
      <c r="E65" s="2" t="s">
        <v>103</v>
      </c>
      <c r="F65" s="28" t="s">
        <v>21</v>
      </c>
      <c r="G65" s="8">
        <v>1</v>
      </c>
      <c r="H65" s="10">
        <v>1</v>
      </c>
      <c r="I65" s="12">
        <v>45446</v>
      </c>
      <c r="J65" s="14">
        <v>40424966</v>
      </c>
      <c r="K65" s="15">
        <v>39453263.980000004</v>
      </c>
      <c r="L65" s="16">
        <f t="shared" si="0"/>
        <v>0.97596282406273405</v>
      </c>
      <c r="M65" s="27" t="s">
        <v>71</v>
      </c>
      <c r="N65" s="26" t="s">
        <v>71</v>
      </c>
      <c r="O65" s="26" t="s">
        <v>71</v>
      </c>
      <c r="P65" s="26" t="s">
        <v>72</v>
      </c>
      <c r="Q65" s="26" t="s">
        <v>73</v>
      </c>
      <c r="R65" s="26" t="s">
        <v>111</v>
      </c>
    </row>
    <row r="66" spans="1:18">
      <c r="A66" s="1">
        <v>63</v>
      </c>
      <c r="B66" s="1">
        <v>2503176</v>
      </c>
      <c r="C66" s="2" t="s">
        <v>166</v>
      </c>
      <c r="D66" s="2" t="s">
        <v>167</v>
      </c>
      <c r="E66" s="2" t="s">
        <v>103</v>
      </c>
      <c r="F66" s="28" t="s">
        <v>21</v>
      </c>
      <c r="G66" s="8">
        <v>1</v>
      </c>
      <c r="H66" s="10">
        <v>1</v>
      </c>
      <c r="I66" s="12">
        <v>45447</v>
      </c>
      <c r="J66" s="14">
        <v>33296405</v>
      </c>
      <c r="K66" s="15">
        <v>33013148.940000001</v>
      </c>
      <c r="L66" s="16">
        <f t="shared" si="0"/>
        <v>0.99149289360217718</v>
      </c>
      <c r="M66" s="27" t="s">
        <v>71</v>
      </c>
      <c r="N66" s="26" t="s">
        <v>71</v>
      </c>
      <c r="O66" s="26" t="s">
        <v>71</v>
      </c>
      <c r="P66" s="26" t="s">
        <v>72</v>
      </c>
      <c r="Q66" s="26" t="s">
        <v>73</v>
      </c>
      <c r="R66" s="26" t="s">
        <v>111</v>
      </c>
    </row>
    <row r="67" spans="1:18">
      <c r="A67" s="1">
        <v>64</v>
      </c>
      <c r="B67" s="1">
        <v>2503125</v>
      </c>
      <c r="C67" s="2" t="s">
        <v>168</v>
      </c>
      <c r="D67" s="2" t="s">
        <v>169</v>
      </c>
      <c r="E67" s="2" t="s">
        <v>103</v>
      </c>
      <c r="F67" s="28" t="s">
        <v>21</v>
      </c>
      <c r="G67" s="8">
        <v>1</v>
      </c>
      <c r="H67" s="10">
        <v>1</v>
      </c>
      <c r="I67" s="12">
        <v>45715</v>
      </c>
      <c r="J67" s="14">
        <v>71968112</v>
      </c>
      <c r="K67" s="15">
        <v>71146830.25999999</v>
      </c>
      <c r="L67" s="16">
        <f t="shared" si="0"/>
        <v>0.98858825503161718</v>
      </c>
      <c r="M67" s="27" t="s">
        <v>71</v>
      </c>
      <c r="N67" s="26" t="s">
        <v>71</v>
      </c>
      <c r="O67" s="26" t="s">
        <v>71</v>
      </c>
      <c r="P67" s="26" t="s">
        <v>72</v>
      </c>
      <c r="Q67" s="26" t="s">
        <v>73</v>
      </c>
      <c r="R67" s="26" t="s">
        <v>111</v>
      </c>
    </row>
    <row r="68" spans="1:18">
      <c r="A68" s="1">
        <v>65</v>
      </c>
      <c r="B68" s="1">
        <v>2503066</v>
      </c>
      <c r="C68" s="2" t="s">
        <v>170</v>
      </c>
      <c r="D68" s="2" t="s">
        <v>171</v>
      </c>
      <c r="E68" s="2" t="s">
        <v>103</v>
      </c>
      <c r="F68" s="28" t="s">
        <v>21</v>
      </c>
      <c r="G68" s="8">
        <v>1</v>
      </c>
      <c r="H68" s="10">
        <v>1</v>
      </c>
      <c r="I68" s="12">
        <v>45217</v>
      </c>
      <c r="J68" s="14">
        <v>67899938</v>
      </c>
      <c r="K68" s="15">
        <v>67201979.019999996</v>
      </c>
      <c r="L68" s="16">
        <f t="shared" ref="L68:L79" si="1">IFERROR(K68/J68,0)</f>
        <v>0.98972077146815651</v>
      </c>
      <c r="M68" s="27" t="s">
        <v>22</v>
      </c>
      <c r="N68" s="26" t="s">
        <v>22</v>
      </c>
      <c r="O68" s="26" t="s">
        <v>23</v>
      </c>
      <c r="P68" s="26" t="s">
        <v>23</v>
      </c>
      <c r="Q68" s="26" t="s">
        <v>23</v>
      </c>
      <c r="R68" s="26" t="s">
        <v>23</v>
      </c>
    </row>
    <row r="69" spans="1:18">
      <c r="A69" s="1">
        <v>66</v>
      </c>
      <c r="B69" s="1">
        <v>2503213</v>
      </c>
      <c r="C69" s="2" t="s">
        <v>172</v>
      </c>
      <c r="D69" s="2" t="s">
        <v>173</v>
      </c>
      <c r="E69" s="2" t="s">
        <v>103</v>
      </c>
      <c r="F69" s="28" t="s">
        <v>21</v>
      </c>
      <c r="G69" s="8">
        <v>1</v>
      </c>
      <c r="H69" s="10">
        <v>1</v>
      </c>
      <c r="I69" s="12">
        <v>45020</v>
      </c>
      <c r="J69" s="14">
        <v>40831017</v>
      </c>
      <c r="K69" s="15">
        <v>40449267.68</v>
      </c>
      <c r="L69" s="16">
        <f t="shared" si="1"/>
        <v>0.99065050669690646</v>
      </c>
      <c r="M69" s="27" t="s">
        <v>22</v>
      </c>
      <c r="N69" s="26" t="s">
        <v>22</v>
      </c>
      <c r="O69" s="26" t="s">
        <v>23</v>
      </c>
      <c r="P69" s="26" t="s">
        <v>23</v>
      </c>
      <c r="Q69" s="26" t="s">
        <v>23</v>
      </c>
      <c r="R69" s="26" t="s">
        <v>23</v>
      </c>
    </row>
    <row r="70" spans="1:18">
      <c r="A70" s="1">
        <v>67</v>
      </c>
      <c r="B70" s="1">
        <v>2502892</v>
      </c>
      <c r="C70" s="2" t="s">
        <v>174</v>
      </c>
      <c r="D70" s="2" t="s">
        <v>175</v>
      </c>
      <c r="E70" s="2" t="s">
        <v>103</v>
      </c>
      <c r="F70" s="28" t="s">
        <v>21</v>
      </c>
      <c r="G70" s="8">
        <v>1</v>
      </c>
      <c r="H70" s="10">
        <v>1</v>
      </c>
      <c r="I70" s="12">
        <v>45341</v>
      </c>
      <c r="J70" s="14">
        <v>59111107</v>
      </c>
      <c r="K70" s="15">
        <v>58607835.079999998</v>
      </c>
      <c r="L70" s="16">
        <f t="shared" si="1"/>
        <v>0.99148600076124438</v>
      </c>
      <c r="M70" s="27" t="s">
        <v>71</v>
      </c>
      <c r="N70" s="26" t="s">
        <v>71</v>
      </c>
      <c r="O70" s="26" t="s">
        <v>71</v>
      </c>
      <c r="P70" s="26" t="s">
        <v>72</v>
      </c>
      <c r="Q70" s="26" t="s">
        <v>73</v>
      </c>
      <c r="R70" s="26" t="s">
        <v>111</v>
      </c>
    </row>
    <row r="71" spans="1:18">
      <c r="A71" s="1">
        <v>68</v>
      </c>
      <c r="B71" s="1">
        <v>2503195</v>
      </c>
      <c r="C71" s="2" t="s">
        <v>176</v>
      </c>
      <c r="D71" s="2" t="s">
        <v>177</v>
      </c>
      <c r="E71" s="2" t="s">
        <v>103</v>
      </c>
      <c r="F71" s="28" t="s">
        <v>21</v>
      </c>
      <c r="G71" s="8">
        <v>1</v>
      </c>
      <c r="H71" s="10">
        <v>1</v>
      </c>
      <c r="I71" s="12">
        <v>45418</v>
      </c>
      <c r="J71" s="14">
        <v>75655475</v>
      </c>
      <c r="K71" s="15">
        <v>75172591.650000006</v>
      </c>
      <c r="L71" s="16">
        <f t="shared" si="1"/>
        <v>0.99361733767450411</v>
      </c>
      <c r="M71" s="27" t="s">
        <v>22</v>
      </c>
      <c r="N71" s="26" t="s">
        <v>22</v>
      </c>
      <c r="O71" s="26" t="s">
        <v>23</v>
      </c>
      <c r="P71" s="26" t="s">
        <v>23</v>
      </c>
      <c r="Q71" s="26" t="s">
        <v>23</v>
      </c>
      <c r="R71" s="26" t="s">
        <v>23</v>
      </c>
    </row>
    <row r="72" spans="1:18">
      <c r="A72" s="1">
        <v>69</v>
      </c>
      <c r="B72" s="1">
        <v>2503076</v>
      </c>
      <c r="C72" s="2" t="s">
        <v>178</v>
      </c>
      <c r="D72" s="2" t="s">
        <v>179</v>
      </c>
      <c r="E72" s="2" t="s">
        <v>103</v>
      </c>
      <c r="F72" s="28" t="s">
        <v>21</v>
      </c>
      <c r="G72" s="8">
        <v>1</v>
      </c>
      <c r="H72" s="10">
        <v>1</v>
      </c>
      <c r="I72" s="12">
        <v>45118</v>
      </c>
      <c r="J72" s="14">
        <v>37977314</v>
      </c>
      <c r="K72" s="15">
        <v>37889834.469999999</v>
      </c>
      <c r="L72" s="16">
        <f t="shared" si="1"/>
        <v>0.99769653193482821</v>
      </c>
      <c r="M72" s="27" t="s">
        <v>22</v>
      </c>
      <c r="N72" s="26" t="s">
        <v>22</v>
      </c>
      <c r="O72" s="26" t="s">
        <v>23</v>
      </c>
      <c r="P72" s="26" t="s">
        <v>23</v>
      </c>
      <c r="Q72" s="26" t="s">
        <v>23</v>
      </c>
      <c r="R72" s="26" t="s">
        <v>23</v>
      </c>
    </row>
    <row r="73" spans="1:18">
      <c r="A73" s="1">
        <v>70</v>
      </c>
      <c r="B73" s="1">
        <v>2503626</v>
      </c>
      <c r="C73" s="2" t="s">
        <v>180</v>
      </c>
      <c r="D73" s="2" t="s">
        <v>181</v>
      </c>
      <c r="E73" s="2" t="s">
        <v>103</v>
      </c>
      <c r="F73" s="28" t="s">
        <v>21</v>
      </c>
      <c r="G73" s="8">
        <v>1</v>
      </c>
      <c r="H73" s="10">
        <v>1</v>
      </c>
      <c r="I73" s="12">
        <v>45090</v>
      </c>
      <c r="J73" s="14">
        <v>60528317</v>
      </c>
      <c r="K73" s="15">
        <v>60364434.640000001</v>
      </c>
      <c r="L73" s="16">
        <f t="shared" si="1"/>
        <v>0.99729246792042803</v>
      </c>
      <c r="M73" s="27" t="s">
        <v>22</v>
      </c>
      <c r="N73" s="26" t="s">
        <v>22</v>
      </c>
      <c r="O73" s="26" t="s">
        <v>23</v>
      </c>
      <c r="P73" s="26" t="s">
        <v>23</v>
      </c>
      <c r="Q73" s="26" t="s">
        <v>23</v>
      </c>
      <c r="R73" s="26" t="s">
        <v>23</v>
      </c>
    </row>
    <row r="74" spans="1:18">
      <c r="A74" s="1">
        <v>71</v>
      </c>
      <c r="B74" s="1">
        <v>2503124</v>
      </c>
      <c r="C74" s="2" t="s">
        <v>182</v>
      </c>
      <c r="D74" s="2" t="s">
        <v>183</v>
      </c>
      <c r="E74" s="2" t="s">
        <v>103</v>
      </c>
      <c r="F74" s="28" t="s">
        <v>21</v>
      </c>
      <c r="G74" s="8">
        <v>1</v>
      </c>
      <c r="H74" s="10">
        <v>1</v>
      </c>
      <c r="I74" s="12">
        <v>45015</v>
      </c>
      <c r="J74" s="14">
        <v>45496577</v>
      </c>
      <c r="K74" s="15">
        <v>44652487.100000001</v>
      </c>
      <c r="L74" s="16">
        <f t="shared" si="1"/>
        <v>0.98144717788329439</v>
      </c>
      <c r="M74" s="27" t="s">
        <v>22</v>
      </c>
      <c r="N74" s="26" t="s">
        <v>22</v>
      </c>
      <c r="O74" s="26" t="s">
        <v>23</v>
      </c>
      <c r="P74" s="26" t="s">
        <v>23</v>
      </c>
      <c r="Q74" s="26" t="s">
        <v>23</v>
      </c>
      <c r="R74" s="26" t="s">
        <v>23</v>
      </c>
    </row>
    <row r="75" spans="1:18">
      <c r="A75" s="1">
        <v>72</v>
      </c>
      <c r="B75" s="1">
        <v>2502653</v>
      </c>
      <c r="C75" s="2" t="s">
        <v>184</v>
      </c>
      <c r="D75" s="2" t="s">
        <v>185</v>
      </c>
      <c r="E75" s="2" t="s">
        <v>103</v>
      </c>
      <c r="F75" s="28" t="s">
        <v>21</v>
      </c>
      <c r="G75" s="8">
        <v>1</v>
      </c>
      <c r="H75" s="10">
        <v>1</v>
      </c>
      <c r="I75" s="12">
        <v>45196</v>
      </c>
      <c r="J75" s="14">
        <v>14985945</v>
      </c>
      <c r="K75" s="15">
        <v>14740261.02</v>
      </c>
      <c r="L75" s="16">
        <f t="shared" si="1"/>
        <v>0.9836057065470345</v>
      </c>
      <c r="M75" s="27" t="s">
        <v>22</v>
      </c>
      <c r="N75" s="26" t="s">
        <v>22</v>
      </c>
      <c r="O75" s="26" t="s">
        <v>23</v>
      </c>
      <c r="P75" s="26" t="s">
        <v>23</v>
      </c>
      <c r="Q75" s="26" t="s">
        <v>23</v>
      </c>
      <c r="R75" s="26" t="s">
        <v>23</v>
      </c>
    </row>
    <row r="76" spans="1:18">
      <c r="A76" s="1">
        <v>73</v>
      </c>
      <c r="B76" s="1">
        <v>2503222</v>
      </c>
      <c r="C76" s="2" t="s">
        <v>186</v>
      </c>
      <c r="D76" s="2" t="s">
        <v>187</v>
      </c>
      <c r="E76" s="2" t="s">
        <v>103</v>
      </c>
      <c r="F76" s="28" t="s">
        <v>21</v>
      </c>
      <c r="G76" s="8">
        <v>1</v>
      </c>
      <c r="H76" s="10">
        <v>1</v>
      </c>
      <c r="I76" s="12">
        <v>45351</v>
      </c>
      <c r="J76" s="14">
        <v>24014137</v>
      </c>
      <c r="K76" s="15">
        <v>23922949.539999999</v>
      </c>
      <c r="L76" s="16">
        <f t="shared" si="1"/>
        <v>0.99620275923303003</v>
      </c>
      <c r="M76" s="27" t="s">
        <v>22</v>
      </c>
      <c r="N76" s="26" t="s">
        <v>22</v>
      </c>
      <c r="O76" s="26" t="s">
        <v>23</v>
      </c>
      <c r="P76" s="26" t="s">
        <v>23</v>
      </c>
      <c r="Q76" s="26" t="s">
        <v>23</v>
      </c>
      <c r="R76" s="26" t="s">
        <v>23</v>
      </c>
    </row>
    <row r="77" spans="1:18">
      <c r="A77" s="1">
        <v>74</v>
      </c>
      <c r="B77" s="1">
        <v>2503086</v>
      </c>
      <c r="C77" s="2" t="s">
        <v>188</v>
      </c>
      <c r="D77" s="2" t="s">
        <v>189</v>
      </c>
      <c r="E77" s="2" t="s">
        <v>103</v>
      </c>
      <c r="F77" s="28" t="s">
        <v>21</v>
      </c>
      <c r="G77" s="8">
        <v>1</v>
      </c>
      <c r="H77" s="10">
        <v>1</v>
      </c>
      <c r="I77" s="12">
        <v>44926</v>
      </c>
      <c r="J77" s="14">
        <v>17388184</v>
      </c>
      <c r="K77" s="15">
        <v>16476337.710000001</v>
      </c>
      <c r="L77" s="16">
        <f t="shared" si="1"/>
        <v>0.94755942943782978</v>
      </c>
      <c r="M77" s="27" t="s">
        <v>22</v>
      </c>
      <c r="N77" s="26" t="s">
        <v>71</v>
      </c>
      <c r="O77" s="26" t="s">
        <v>23</v>
      </c>
      <c r="P77" s="26" t="s">
        <v>22</v>
      </c>
      <c r="Q77" s="26" t="s">
        <v>106</v>
      </c>
      <c r="R77" s="26">
        <v>0</v>
      </c>
    </row>
    <row r="78" spans="1:18">
      <c r="A78" s="1">
        <v>75</v>
      </c>
      <c r="B78" s="1">
        <v>2428658</v>
      </c>
      <c r="C78" s="2" t="s">
        <v>190</v>
      </c>
      <c r="D78" s="2" t="s">
        <v>191</v>
      </c>
      <c r="E78" s="2" t="s">
        <v>32</v>
      </c>
      <c r="F78" s="28" t="s">
        <v>192</v>
      </c>
      <c r="G78" s="8">
        <v>0</v>
      </c>
      <c r="H78" s="10">
        <v>0</v>
      </c>
      <c r="I78" s="12"/>
      <c r="J78" s="14">
        <v>15562295</v>
      </c>
      <c r="K78" s="15">
        <v>96200</v>
      </c>
      <c r="L78" s="16">
        <f t="shared" si="1"/>
        <v>6.1816075328221193E-3</v>
      </c>
      <c r="M78" s="27" t="s">
        <v>22</v>
      </c>
      <c r="N78" s="26" t="s">
        <v>22</v>
      </c>
      <c r="O78" s="26" t="s">
        <v>23</v>
      </c>
      <c r="P78" s="26" t="s">
        <v>23</v>
      </c>
      <c r="Q78" s="26" t="s">
        <v>23</v>
      </c>
      <c r="R78" s="26" t="s">
        <v>23</v>
      </c>
    </row>
    <row r="79" spans="1:18">
      <c r="A79" s="1">
        <v>76</v>
      </c>
      <c r="B79" s="1">
        <v>2464103</v>
      </c>
      <c r="C79" s="2" t="s">
        <v>193</v>
      </c>
      <c r="D79" s="2" t="s">
        <v>194</v>
      </c>
      <c r="E79" s="2" t="s">
        <v>32</v>
      </c>
      <c r="F79" s="28" t="s">
        <v>192</v>
      </c>
      <c r="G79" s="8">
        <v>0</v>
      </c>
      <c r="H79" s="10">
        <v>0</v>
      </c>
      <c r="I79" s="12"/>
      <c r="J79" s="14">
        <v>32455792</v>
      </c>
      <c r="K79" s="15">
        <v>96200</v>
      </c>
      <c r="L79" s="16">
        <f t="shared" si="1"/>
        <v>2.9640318128733387E-3</v>
      </c>
      <c r="M79" s="27" t="s">
        <v>22</v>
      </c>
      <c r="N79" s="26" t="s">
        <v>22</v>
      </c>
      <c r="O79" s="26" t="s">
        <v>23</v>
      </c>
      <c r="P79" s="26" t="s">
        <v>23</v>
      </c>
      <c r="Q79" s="26" t="s">
        <v>23</v>
      </c>
      <c r="R79" s="26" t="s">
        <v>23</v>
      </c>
    </row>
  </sheetData>
  <autoFilter ref="A3:R3" xr:uid="{B5A81DEB-D931-4E05-AF28-A24C0E9B218E}"/>
  <mergeCells count="1">
    <mergeCell ref="M2:R2"/>
  </mergeCells>
  <conditionalFormatting sqref="A3:A79">
    <cfRule type="duplicateValues" dxfId="77" priority="82"/>
    <cfRule type="duplicateValues" dxfId="76" priority="109"/>
    <cfRule type="duplicateValues" dxfId="75" priority="75"/>
    <cfRule type="duplicateValues" dxfId="74" priority="76"/>
    <cfRule type="duplicateValues" dxfId="73" priority="77"/>
    <cfRule type="duplicateValues" dxfId="72" priority="78"/>
    <cfRule type="duplicateValues" dxfId="71" priority="79"/>
    <cfRule type="duplicateValues" dxfId="70" priority="80"/>
    <cfRule type="duplicateValues" dxfId="69" priority="81"/>
    <cfRule type="duplicateValues" dxfId="68" priority="91"/>
    <cfRule type="duplicateValues" dxfId="67" priority="83"/>
    <cfRule type="duplicateValues" dxfId="66" priority="84"/>
    <cfRule type="duplicateValues" dxfId="65" priority="85"/>
    <cfRule type="duplicateValues" dxfId="64" priority="86"/>
    <cfRule type="duplicateValues" dxfId="63" priority="87"/>
    <cfRule type="duplicateValues" dxfId="62" priority="88"/>
    <cfRule type="duplicateValues" dxfId="61" priority="89"/>
    <cfRule type="duplicateValues" dxfId="60" priority="90"/>
    <cfRule type="duplicateValues" dxfId="59" priority="110"/>
    <cfRule type="duplicateValues" dxfId="58" priority="92"/>
    <cfRule type="duplicateValues" dxfId="57" priority="93"/>
    <cfRule type="duplicateValues" dxfId="56" priority="94"/>
    <cfRule type="duplicateValues" dxfId="55" priority="95"/>
    <cfRule type="duplicateValues" dxfId="54" priority="96"/>
    <cfRule type="duplicateValues" dxfId="53" priority="97"/>
    <cfRule type="duplicateValues" dxfId="52" priority="98"/>
    <cfRule type="duplicateValues" dxfId="51" priority="99"/>
    <cfRule type="duplicateValues" dxfId="50" priority="100"/>
    <cfRule type="duplicateValues" dxfId="49" priority="101"/>
    <cfRule type="duplicateValues" dxfId="48" priority="102"/>
    <cfRule type="duplicateValues" dxfId="47" priority="103"/>
    <cfRule type="duplicateValues" dxfId="46" priority="104"/>
    <cfRule type="duplicateValues" dxfId="45" priority="105"/>
    <cfRule type="duplicateValues" dxfId="44" priority="106"/>
    <cfRule type="duplicateValues" dxfId="43" priority="107"/>
    <cfRule type="duplicateValues" dxfId="42" priority="108"/>
  </conditionalFormatting>
  <conditionalFormatting sqref="B1:B1048576">
    <cfRule type="duplicateValues" dxfId="41" priority="2"/>
    <cfRule type="duplicateValues" dxfId="40" priority="1"/>
  </conditionalFormatting>
  <conditionalFormatting sqref="B3:B79">
    <cfRule type="duplicateValues" dxfId="39" priority="150"/>
    <cfRule type="duplicateValues" dxfId="38" priority="121"/>
    <cfRule type="duplicateValues" dxfId="37" priority="115"/>
    <cfRule type="duplicateValues" dxfId="36" priority="116"/>
    <cfRule type="duplicateValues" dxfId="35" priority="117"/>
    <cfRule type="duplicateValues" dxfId="34" priority="118"/>
    <cfRule type="duplicateValues" dxfId="33" priority="119"/>
    <cfRule type="duplicateValues" dxfId="32" priority="120"/>
    <cfRule type="duplicateValues" dxfId="31" priority="122"/>
    <cfRule type="duplicateValues" dxfId="30" priority="123"/>
    <cfRule type="duplicateValues" dxfId="29" priority="124"/>
    <cfRule type="duplicateValues" dxfId="28" priority="125"/>
    <cfRule type="duplicateValues" dxfId="27" priority="126"/>
    <cfRule type="duplicateValues" dxfId="26" priority="127"/>
    <cfRule type="duplicateValues" dxfId="25" priority="128"/>
    <cfRule type="duplicateValues" dxfId="24" priority="129"/>
    <cfRule type="duplicateValues" dxfId="23" priority="130"/>
    <cfRule type="duplicateValues" dxfId="22" priority="131"/>
    <cfRule type="duplicateValues" dxfId="21" priority="132"/>
    <cfRule type="duplicateValues" dxfId="20" priority="133"/>
    <cfRule type="duplicateValues" dxfId="19" priority="134"/>
    <cfRule type="duplicateValues" dxfId="18" priority="135"/>
    <cfRule type="duplicateValues" dxfId="17" priority="136"/>
    <cfRule type="duplicateValues" dxfId="16" priority="137"/>
    <cfRule type="duplicateValues" dxfId="15" priority="138"/>
    <cfRule type="duplicateValues" dxfId="14" priority="139"/>
    <cfRule type="duplicateValues" dxfId="13" priority="140"/>
    <cfRule type="duplicateValues" dxfId="12" priority="141"/>
    <cfRule type="duplicateValues" dxfId="11" priority="142"/>
    <cfRule type="duplicateValues" dxfId="10" priority="143"/>
    <cfRule type="duplicateValues" dxfId="9" priority="144"/>
    <cfRule type="duplicateValues" dxfId="8" priority="145"/>
    <cfRule type="duplicateValues" dxfId="7" priority="146"/>
    <cfRule type="duplicateValues" dxfId="6" priority="147"/>
    <cfRule type="duplicateValues" dxfId="5" priority="148"/>
    <cfRule type="duplicateValues" dxfId="4" priority="149"/>
  </conditionalFormatting>
  <conditionalFormatting sqref="C3:C79">
    <cfRule type="duplicateValues" dxfId="3" priority="114"/>
  </conditionalFormatting>
  <conditionalFormatting sqref="F3">
    <cfRule type="duplicateValues" dxfId="2" priority="112"/>
    <cfRule type="duplicateValues" dxfId="1" priority="113"/>
  </conditionalFormatting>
  <conditionalFormatting sqref="I3">
    <cfRule type="duplicateValues" dxfId="0" priority="11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9579-82AE-4111-81BA-007AAAF37571}">
  <dimension ref="A3:E13"/>
  <sheetViews>
    <sheetView workbookViewId="0">
      <selection activeCell="A8" sqref="A8"/>
    </sheetView>
  </sheetViews>
  <sheetFormatPr defaultColWidth="11.42578125" defaultRowHeight="15"/>
  <cols>
    <col min="1" max="1" width="32.28515625" bestFit="1" customWidth="1"/>
    <col min="2" max="2" width="18.85546875" bestFit="1" customWidth="1"/>
    <col min="4" max="4" width="33.5703125" customWidth="1"/>
    <col min="5" max="5" width="16.28515625" customWidth="1"/>
  </cols>
  <sheetData>
    <row r="3" spans="1:5">
      <c r="A3" s="17" t="s">
        <v>195</v>
      </c>
      <c r="B3" t="s">
        <v>196</v>
      </c>
    </row>
    <row r="4" spans="1:5">
      <c r="A4" s="18" t="s">
        <v>21</v>
      </c>
      <c r="B4">
        <v>71</v>
      </c>
    </row>
    <row r="5" spans="1:5">
      <c r="A5" s="18" t="s">
        <v>83</v>
      </c>
      <c r="B5">
        <v>3</v>
      </c>
    </row>
    <row r="6" spans="1:5">
      <c r="A6" s="18" t="s">
        <v>192</v>
      </c>
      <c r="B6">
        <v>2</v>
      </c>
    </row>
    <row r="7" spans="1:5">
      <c r="A7" s="18" t="s">
        <v>197</v>
      </c>
      <c r="B7">
        <v>76</v>
      </c>
    </row>
    <row r="9" spans="1:5">
      <c r="D9" s="20" t="s">
        <v>198</v>
      </c>
      <c r="E9" s="20" t="s">
        <v>199</v>
      </c>
    </row>
    <row r="10" spans="1:5">
      <c r="D10" s="21" t="s">
        <v>21</v>
      </c>
      <c r="E10" s="22">
        <v>71</v>
      </c>
    </row>
    <row r="11" spans="1:5">
      <c r="D11" s="21" t="s">
        <v>83</v>
      </c>
      <c r="E11" s="22">
        <v>3</v>
      </c>
    </row>
    <row r="12" spans="1:5">
      <c r="D12" s="23" t="s">
        <v>192</v>
      </c>
      <c r="E12" s="22">
        <v>2</v>
      </c>
    </row>
    <row r="13" spans="1:5">
      <c r="D13" s="19" t="s">
        <v>200</v>
      </c>
      <c r="E13" s="24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Alfonzo Almeyda Caja</dc:creator>
  <cp:keywords/>
  <dc:description/>
  <cp:lastModifiedBy/>
  <cp:revision/>
  <dcterms:created xsi:type="dcterms:W3CDTF">2026-04-01T17:33:59Z</dcterms:created>
  <dcterms:modified xsi:type="dcterms:W3CDTF">2026-04-14T16:51:05Z</dcterms:modified>
  <cp:category/>
  <cp:contentStatus/>
</cp:coreProperties>
</file>