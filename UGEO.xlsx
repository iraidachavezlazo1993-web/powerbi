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diplan11\Documents\00_MINEDU\PROCESAMIENTO\01_input\"/>
    </mc:Choice>
  </mc:AlternateContent>
  <xr:revisionPtr revIDLastSave="0" documentId="8_{63CA72D2-F639-496A-A2D9-B04E6AD20B92}" xr6:coauthVersionLast="47" xr6:coauthVersionMax="47" xr10:uidLastSave="{00000000-0000-0000-0000-000000000000}"/>
  <bookViews>
    <workbookView xWindow="-120" yWindow="-120" windowWidth="29040" windowHeight="15720" tabRatio="576" xr2:uid="{00000000-000D-0000-FFFF-FFFF00000000}"/>
  </bookViews>
  <sheets>
    <sheet name="UGEO" sheetId="1" r:id="rId1"/>
  </sheets>
  <externalReferences>
    <externalReference r:id="rId2"/>
  </externalReferences>
  <definedNames>
    <definedName name="_xlnm._FilterDatabase" localSheetId="0" hidden="1">UGEO!$A$3:$U$60</definedName>
    <definedName name="SelCol">[1]Reportes!$BK$3</definedName>
    <definedName name="SelRow">[1]Reportes!$BK$2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alcChain>
</file>

<file path=xl/sharedStrings.xml><?xml version="1.0" encoding="utf-8"?>
<sst xmlns="http://schemas.openxmlformats.org/spreadsheetml/2006/main" count="686" uniqueCount="180">
  <si>
    <t>REPORTE DE INTERVENCIONES DE INVERSIONES QUE REDUCEN LA VULNERABILIDAD Y MEJORAN LA FUNCIONALIDAD DE LA INFRAESTRUCTURA EDUCATIVA (UGEO)</t>
  </si>
  <si>
    <t>N°</t>
  </si>
  <si>
    <t>CUI</t>
  </si>
  <si>
    <t>Código Local</t>
  </si>
  <si>
    <t>Códigos modulares intervenidos
(dividir por /)</t>
  </si>
  <si>
    <t>Tipo de inversión
(PI Regular, IOARR u OXI)</t>
  </si>
  <si>
    <t>Monto de inversión (S/)</t>
  </si>
  <si>
    <t>Fase de la obra</t>
  </si>
  <si>
    <t>Etapa de la obra</t>
  </si>
  <si>
    <t>Avance físico (%)</t>
  </si>
  <si>
    <t>Avance financiero (%)</t>
  </si>
  <si>
    <t>Capacidad operativa
(# de estudiantes en un turno)</t>
  </si>
  <si>
    <t>Fecha de inicio de la obra (o estimada)</t>
  </si>
  <si>
    <t>Fecha de culminación de obra (o estimada)</t>
  </si>
  <si>
    <t>Fecha de recepción de obra (o estimada)</t>
  </si>
  <si>
    <t>Fecha de entrega de obra (o estimada)</t>
  </si>
  <si>
    <t>Fecha de inauguración (o estimada)</t>
  </si>
  <si>
    <t>Comentarios</t>
  </si>
  <si>
    <t>I.E.</t>
  </si>
  <si>
    <t>-</t>
  </si>
  <si>
    <t>PI Regular</t>
  </si>
  <si>
    <t>Pre inversion</t>
  </si>
  <si>
    <t>No fue incluido en el PMI</t>
  </si>
  <si>
    <t>MEJORAMIENTO DEL SERVICIO EDUCATIVO DEL NIVEL PRIMARIA Y SECUNDARIA DE LA IE N° 16003 EN EL DISTRITO DE JAEN, PROVINCIA DE JAEN Y DEPARTAMENTO DE CAJAMARCA  DISTRITO DE JAEN - PROVINCIA DE JAEN - DEPARTAMENTO DE CAJAMARCA</t>
  </si>
  <si>
    <t>.</t>
  </si>
  <si>
    <t>MEJORAMIENTO DEL SERVICIO DE EDUCACIÓN INICIAL EN I.E. 0005   DISTRITO DE INDEPENDENCIA DE LA PROVINCIA DE LIMA DEL DEPARTAMENTO DE LIMA</t>
  </si>
  <si>
    <t>Incluido en el PMI 2027-2029</t>
  </si>
  <si>
    <t>MEJORAMIENTO DEL SERVICIO EDUCATIVO DEL NIVEL INICIAL Y PRIMARIA DE LA I.E. N°31516 MARISCAL CASTILLA EN EL  DISTRITO DE TARMA - PROVINCIA DE TARMA - DEPARTAMENTO DE JUNIN</t>
  </si>
  <si>
    <t>MEJORAMIENTO DEL SERVICIO DE EDUCACIÓN INICIAL EN I.E. JORGE LINGAN   DISTRITO DE CARABAYLLO DE LA PROVINCIA DE LIMA DEL DEPARTAMENTO DE LIMA</t>
  </si>
  <si>
    <t>MEJORAMIENTO MEJORAMIENTO DEL SERVICIO DE EDUCACIÓN PRIMARIA Y SECUNDARIA EN LA I.E. 2089 MICAELA BASTIDAS, DISTRITO DE LOS OLIVOS, PROVINCIA DE LIMA, DEPARTAMENTO DE LIMA  DISTRITO DE LOS OLIVOS - PROVINCIA DE LIMA - DEPARTAMENTO DE LIMA</t>
  </si>
  <si>
    <t>*011046</t>
  </si>
  <si>
    <t>MEJORAMIENTO DEL SERVICIO DE EDUCACIÓN INICIAL EN I.E. 203   DISTRITO DE BAGUA GRANDE DE LA PROVINCIA DE UTCUBAMBA DEL DEPARTAMENTO DE AMAZONAS</t>
  </si>
  <si>
    <t>IOARR</t>
  </si>
  <si>
    <t>REPARACION DE CERCO Y/O PORTADA Y MURO DE CONTENCION; EN EL(LA) I.E. 0026 AICHI NAGOYA  DISTRITO DE ATE, PROVINCIA LIMA, DEPARTAMENTO LIMA</t>
  </si>
  <si>
    <t>MEJORAMIENTO DEL SERVICIO EDUCATIVO DEL NIVEL INICIAL, PRIMARIA Y SECUNDARIA DE LA IE N° 81748 EN EL DISTRITO DE LA ESPERANZA, PROVINCIA DE TRUJILLO Y DEPARTAMENTO DE LA LIBERTAD  DISTRITO DE LA ESPERANZA - PROVINCIA DE TRUJILLO - DEPARTAMENTO DE LA LIBERTAD</t>
  </si>
  <si>
    <t>MEJORAMIENTO DEL SERVICIO DE EDUCACIÓN SECUNDARIA EN I.E. MANUEL FIDENCIO HIDALGO FLORES   DISTRITO DE NUEVA CAJAMARCA DE LA PROVINCIA DE RIOJA DEL DEPARTAMENTO DE SAN MARTIN</t>
  </si>
  <si>
    <t>MEJORAMIENTO DEL SERVICIO EDUCATIVO DEL NIVEL PRIMARIA Y SECUNDARIA DE LA I.E. 6060 JULIO CESAR TELLO,  DISTRITO DE VILLA MARIA DEL TRIUNFO - PROVINCIA DE LIMA - DEPARTAMENTO DE LIMA</t>
  </si>
  <si>
    <t>MEJORAMIENTO DEL SERVICIO EDUCATIVO DEL NIVEL INICIAL, PRIMARIA Y SECUNDARIA DE LA I.E. N° 7102 SAN FRANCISCO DE ASÍS, DISTRITO DE PACHACAMAC - PROVINCIA DE LIMA - DEPARTAMENTO DE LIMA</t>
  </si>
  <si>
    <t>MEJORAMIENTO DEL SERVICIO DE EDUCACIÓN SECUNDARIA EN I.E. JUAN PABLO VIZCARDO Y GUZMAN DISTRITO DE COMAS DE LA PROVINCIA DE LIMA DEL DEPARTAMENTO DE LIMA</t>
  </si>
  <si>
    <t>OXI</t>
  </si>
  <si>
    <t>Entregada 2025</t>
  </si>
  <si>
    <t>COAR MOQUEGUA</t>
  </si>
  <si>
    <t>IE 16449 ELOY SOBERON FLORES - SALDO DE OBRA</t>
  </si>
  <si>
    <t>459338</t>
  </si>
  <si>
    <t>I.E. NUESTRA SEÑORA DE ALTA GRACIA - SALDO</t>
  </si>
  <si>
    <t>IE LIBERTADOR SAN MARTIN - CERCO - SALDO</t>
  </si>
  <si>
    <t>IE 1211 JOSE MARIA ARGUEDAS - DEMOLICION</t>
  </si>
  <si>
    <t>051872</t>
  </si>
  <si>
    <t>Programada a Culminar 2026</t>
  </si>
  <si>
    <t>En ejecucion</t>
  </si>
  <si>
    <t>033487</t>
  </si>
  <si>
    <t>IE 32386 - DANIEL FONSECA TARAZONA</t>
  </si>
  <si>
    <t>044693</t>
  </si>
  <si>
    <t>IE JUAN ESPINOZA MEDRANO - ETAPA I</t>
  </si>
  <si>
    <t>IE JUAN ESPINOZA MEDRANO - ETAPA II</t>
  </si>
  <si>
    <t>346233</t>
  </si>
  <si>
    <t>IEI 520 - SALDO DE OBRA - II- TABLADA DE LURIN</t>
  </si>
  <si>
    <t>IE ABRAHAM CARDENAS RUIZ - SALDO DE OBRA - III</t>
  </si>
  <si>
    <t>179385</t>
  </si>
  <si>
    <t>213997</t>
  </si>
  <si>
    <t>Expediente Tecnico Aprobado 2025</t>
  </si>
  <si>
    <t>Expediente Tecnico Culminado</t>
  </si>
  <si>
    <t>I.E. 2058 VIRGEN DE LA MEDALLA MILAGROSA</t>
  </si>
  <si>
    <t>291867</t>
  </si>
  <si>
    <t>0705145</t>
  </si>
  <si>
    <t>Exp. Téc en Desarrollo 2026</t>
  </si>
  <si>
    <t>RESOLUCIÓN JEFATURAL UGEO N° 000001-2026-MINEDU-VMGI-PRONIED-UGEO</t>
  </si>
  <si>
    <t>0512426
0643841</t>
  </si>
  <si>
    <t>EXPEDIENTE TECNICO 1RA ETAPA DE DEMOLICION CULMINADO APROBADO CON RESOLUCIÓN JEFATURAL UGEO N° 000056-2025-MINEDU-VMGI-PRONIED-UGEO de fecha 05/06/2025
EXPEDIENTE TECNICO DE 2DA ETAPA 
RESOLUCIÓN JEFATURAL UGEO N° 000001-2026-MINEDU-VMGI-PRONIED-UGEO</t>
  </si>
  <si>
    <t>510305
0703215
1503101</t>
  </si>
  <si>
    <t>ET EN ELABORACION POR CONSULTORIA -  SEGUNDO ENTREGABLE APROBADO</t>
  </si>
  <si>
    <t>305789</t>
  </si>
  <si>
    <t>0743138
0434373
0437319
1359751
0437624</t>
  </si>
  <si>
    <t>EN ELABORACION DEL EXPEDIENTE TECNICO</t>
  </si>
  <si>
    <t>202786</t>
  </si>
  <si>
    <t>1453422
0297358
1224773</t>
  </si>
  <si>
    <t>REQUIERE EBB E INSPECCION</t>
  </si>
  <si>
    <t>812099</t>
  </si>
  <si>
    <t>1372846
0260489
0355917
0356477
0625780
0808923</t>
  </si>
  <si>
    <t>ET EN ELABORACION POR CONSULTORIA -  SEGUNDO ENTREGABLE EN LEVANTAMIENTO DE OBSERVACIONES</t>
  </si>
  <si>
    <t>0394551
0395228</t>
  </si>
  <si>
    <t>EN ELABORACION DE EXPEDIENTE TECNICO</t>
  </si>
  <si>
    <t>121281</t>
  </si>
  <si>
    <t>0262931
	0591768
0263061</t>
  </si>
  <si>
    <t xml:space="preserve">REQUIERE PMI </t>
  </si>
  <si>
    <t>OBRA TERMINADA</t>
  </si>
  <si>
    <t>Entregada 2026</t>
  </si>
  <si>
    <t>EN RECEPCION 2026</t>
  </si>
  <si>
    <t>REGULAR</t>
  </si>
  <si>
    <t>Estado situacional: obra atrasada en un 8.77%.
_x000B_Alerta: El atraso de la obra se debe a las lluvias intensas en la zona y a la poca cantidad de personal en obra, lo que dificulta los avance.
Alternativa de solución / Acción: Obra suspendida (con fecha 13/02/2026) debido a las intensas lluvias en la zona, lo que dificultaba los avances de la obra, razón por la cual se procedió con la suspensión de plazo por un acuerdo entre las partes.</t>
  </si>
  <si>
    <t>Estado situacional: (obra atrasada en un 14%). En fecha 16/12/2025 se realizo la entrega de terreno en presencia del contratista, inspector de obra, director de la institución educativa y representantes de los padres de Familia. Siendo este la ultima condición, en ese sentido el plazo de inicio se dio a partir del 17/12/2025.
Alternativas de solución / Acciones: A la fecha el contratista viene ejecutando la obra a un ritmo lento; por lo que se viene realizando visitas concurrentes a la obra a fin de mitigar el atraso de la obra.</t>
  </si>
  <si>
    <t>Estado situacional: Con fecha 26/01/2026, se realizo la entrega de terreno al contratista ejecutor, asimismo esta pendiente la entrega del adelanto directo la cual es la ultima condición para el inicio de la obra.</t>
  </si>
  <si>
    <t>Estado situacional: En ejecución,a la fecha sin complicaciones.</t>
  </si>
  <si>
    <t xml:space="preserve">
0394593/0634774</t>
  </si>
  <si>
    <t>586289/0694554/1440957</t>
  </si>
  <si>
    <t>0237735/0236190/1358480</t>
  </si>
  <si>
    <t xml:space="preserve">   	0494021</t>
  </si>
  <si>
    <t>0437327/0437632/1088640</t>
  </si>
  <si>
    <t>0478040/0751636</t>
  </si>
  <si>
    <t>0403584/0594697</t>
  </si>
  <si>
    <t>273557/299651/527580</t>
  </si>
  <si>
    <t>296210/1459403</t>
  </si>
  <si>
    <t>512426/643841</t>
  </si>
  <si>
    <t>I.E. PRIMARIA MENORES N°22481-SALDO</t>
  </si>
  <si>
    <t>I.E JOSE ANDRES RAZURI</t>
  </si>
  <si>
    <t>IE MAYORARCA</t>
  </si>
  <si>
    <t>IE MORCA</t>
  </si>
  <si>
    <t>IE INICIAL N°415</t>
  </si>
  <si>
    <t>I.E N°7074 LA INMACULADA</t>
  </si>
  <si>
    <t>IE PAMPAS DE FLORES</t>
  </si>
  <si>
    <t>IE SAN CRISTÓBAL</t>
  </si>
  <si>
    <t>IE N° GLORIOSO HUSARES DE JUNIN</t>
  </si>
  <si>
    <t>IE N°JUANA INFANTES VERA</t>
  </si>
  <si>
    <t>I.E N°171-02-SALDO</t>
  </si>
  <si>
    <t xml:space="preserve">IE JUAN PABLO VISCARDO Y GUZMAN </t>
  </si>
  <si>
    <t>IE CEMA MARA</t>
  </si>
  <si>
    <t>IE 7047 TACNA - SALDO</t>
  </si>
  <si>
    <t>INICIO DE OBRA: 18/03/2025. 
PRONIED ESTÁ A LA ESPERA QUE LA EPS ENVÍE EL EXPEDIENTE DE MAYORES TRABAJOS N° 03 POR FILTRACIONES NATURALES. LA EPS PROYECTA PRESENTAR EL EXPEDIENTE EN DICIEMBRE.  
PRONIED EMITIO OPINIÓN FAVORABLE A LOS CRONOGRAMAS DE EJECUCIÓN DE OBRA MEDIANTE OFICIO N° 004709 Y 004710. 
SE PROGRAMARÁ UNA COMISIÓN A OBRA DEL 26 AL 31 DE ENERO PARA EVALUAR EL ESTADO SITUACIONAL DEL LEVANTAMIENTO DE LAS OBSERVACIONES.</t>
  </si>
  <si>
    <t xml:space="preserve">ENTREGA DE TERRENO: 25/06/2025. 
INICIO DE OBRA: 26/06/2025. 
PARA ENERO PRONIED PROYECTA RECIBIR POR PARTE DE LA SUPERVISORA EL EXPEDIENTE DE MODIFICACIÓN AL CONVENIO, MOTIVADOS POR ADECUACIÓN NORMATIVA.  
SE ALERTA EL INGRESO DEL EXPEDIENTE DE MODIFICACIÓN AL CONVENIO, MOTIVADOS POR ADECUACIÓN NORMATIVA. 
SE PROGRAMARÁ UNA COMISIÓN A OBRA DEL 02 AL 06 DE FEBRERO PARA EVALUAR EL ESTADO SITUACIONAL DEL LEVANTAMIENTO DE LAS OBSERVACIONES (VIAJARÁ LA COORDINADORA DE OBRA ESPECIALISTA DE IISS, IIEE Y COMUNICACIONES). </t>
  </si>
  <si>
    <t>INICIO DE OBRA: 26/04/2025. 
EL 23.12.2025 ANTAMINA SOLICITÓ CON DOCUMENTO TRATO DIRECTO A LA AMPLIACIÓN N° 01 POR 48 D.C.  
EL 29.12.2025 ANTAMINA SOLICITÓ CON DOCUMENTO TRATO DIRECTO A LA AMPLIACIÓN N° 02 POR 135 D.C. (AUN NO HA LLEGADO DE MANERA FÍSICA POR LO QUE PRONIED SE ENCUENTRA A ESPERA PARA SU TRÁMITE) 
EL 09.01.2026 ANTAMINA SOLICITÓ EL CAMBIO DE PROFESIONAL DEL ESPECIALISTA EN ARQUITECTURA  
DEMORA EN EL INICIO DE FABRICACIÓN DEL MOBILIARIO PARA OBRA 
SE PROGRAMARÁ UNA COMISIÓN A OBRA DEL 26 AL 31 DE ENERO PARA EVALUAR EL ESTADO SITUACIONAL DEL LEVANTAMIENTO DE LAS OBSERVACIONES.</t>
  </si>
  <si>
    <t>ENTREGA DE TERRENO: 26/06/2025. 
EL 13-NOV PRONIED SE REUNIÓ CON LA SUPERVISORA PARA DAR SEGUIMIENTO AL EXPEDIENTE DE FACTIBILIDAD DE COMUNICACIONES POR VENCIMIENTO E INCREMENTO DE LA POTENCIA ELÉCTRICA. SE ESPERA QUE EL 31-DIC ANTAMINA ENVIE LA ABSOLUCIÓN DE OBS DE LAS INSTALACIONES ELÉCTRICAS (IIEE) Y COMUNICACIONES. 
SE ESTÁ EJECUTANDO PARTIDAS EN LAS ESPECIALIDADES DE OBRAS PROVISIONALES, ESTRUCTURAS, ARQUITECTURA, INSTALACIONES ELÉCTRICAS - MECÁNICAS, INSTALACIONES SANITARIAS, INSTALACIONES DE TELECOMUNICACIONES, NO OBSTANTE EL COMPONENTE DE MOBILIARIO Y EQUIPAMIENTO AUN NO INICIA. 
DEMORA EN LA ABSOLUCIÓN DE OBSERVACIONES DE INSTALACIONES ELÉCTRICAS (IIEE) Y COMUNICACIONES POR PARTE DE LA EMPRESA PRIVADA ANTAMINA QUE SE EMITIÓ MEDIANTE ACTA DE VISITA DE INSPECCIÓN AL PROYECTO EL 08/10/2025, LO CUAL GENERA UN ATRASO EN DICHAS ESPECIALIDADES.  
SE PROGRAMARÁ UNA COMISIÓN A OBRA DEL 26 AL 31 DE ENERO PARA EVALUAR EL ESTADO SITUACIONAL DEL LEVANTAMIENTO DE LAS OBSERVACIONES (VIAJARÁ LA COORDINADORA DE OBRA ESPECIALISTA DE IISS, IIEE Y COMUNICACIONES).  </t>
  </si>
  <si>
    <t>ENTREGA DE TERRENO: 25/06/2025. 
COMO RESULTADO DE LOS ACUERDOS ADOPTADOS DURANTE LA VISITA A OBRA, EL 05.12.2025 LA UGEL HUAMALÍES EMITIÓ A PRONIED EL OFICIO N.° 900-2025-UE-305-E-UGEL-HUAMALÍES/DI, MEDIANTE EL CUAL SOLICITA LA REEVALUACIÓN E INCLUSIÓN DE LAS MEJORAS PROPUESTAS POR LA COMUNIDAD EN EL EXPEDIENTE TÉCNICO. EL 24.12.2025 PRONIED SE PRONUNCIÓ MEDIANTE LOS OFICIOS N° 005022-00023 A ANTAMINA Y LA EP.  
POSIBLE MODIFICACIÓN AL CONVENIO DEBIDO A LA ATENCIÓN POR MEJORAS PROPUESTAS POR LA COMUNIDAD. 
SE PROGRAMARÁ UNA COMISIÓN A OBRA DEL 26 AL 31 DE ENERO PARA EVALUAR EL ESTADO SITUACIONAL DEL LEVANTAMIENTO DE LAS OBSERVACIONES (VIAJARÁ LA COORDINADORA DE OBRA ESPECIALISTA DE ESTRUCTURA Y ARQUITECTURA).  </t>
  </si>
  <si>
    <t>EL 05/01/2026 -06:53 PRONIED RECEPCIONÓ EL EXPEDIENTE E-000024-2026 DE MAYORES TRABAJOS PARA SU REVISIÓN, SE TIENE COMO FECHA MÁXIMA DAR RESPUESTA EL 14.01.2026. 
SE REALIZARON AVANCES EN LOS BLOQUES C, D, E, F E I. DESTACAN EL TARRAJEO DE MUROS, VIGAS, COLUMNAS Y CIELORRASOS; EL VACIADO DE CONCRETO EN VIGAS Y LOSA DE USOS MÚLTIPLES; EL ASENTADO DE LADRILLO EN EL TERCER PISO; EL PINTADO CON IMPRIMANTE; Y LA COLOCACIÓN DE BARANDAS, CORREAS, COLUMNAS Y TIJERALES METÁLICOS 
EL PLAZO DEL MTO VENCE EL 14.01.2026 (O.S DEL ESPECIALISTA ESTRUCTURAL PENDIENTE PARA SU CERTIFICACIÓN PRESUPUESTAL) 
SE HA PROGRAMADO DERIVAR AOAJ LA REVISIÓN DE LOSMAYORES TRABAJOS EL DÍA13.01.2026.
​</t>
  </si>
  <si>
    <t>INICIO DE OBRA: 16/07/2024.
AVANCE FÍSICO AL 02/01/2026: 87.48% REAL FRENTE A 100.00% PROGRAMADO.
OBRA PRÓXIMA A CULMINACIÓN PROYECTADA PARA FEBRERO 2026.
PENDIENTE DE ENTREGA DE 15 UNIDADES DE MOBILIARIOS PARA LA CULMINACIÓN DE OBRA.
PENDIENTE POR ELECTROCENTRO–DISTRILUZ LA EMISIÓN DE LA CONFORMIDAD DE MEDIA TENSIÓN PARA LA ENERGIZACIÓN DE LA OBRA.
DEMORA EN EL LEVANTAMIENTO DE OBSERVACIONES EMITIDA EN EL ACTA DE VISITA DE INSPECCIÓN AL PROYECTO.</t>
  </si>
  <si>
    <t>Estado situacional: En ejecución. La obra había sido suspendida (24/07/25) por falta de una supervisión de obra (Debido a la imposibilidad de continuar con inspectoría en el limite de valorización de S/ 4´300,000.00, establecido en el reglamento de la ley de contrataciones). Asimismo se debe de indicar que a la fecha se tiene un atraso de 12.41%.
Alternativas de solución / Acciones: En ese sentido, como resultado de las gestiones realizadas por el PRONIED, con fecha 18/09/2025 se suscribió el contrato con el Consorcio Los Pepes, encargado de la supervisión de la obra. Dicha acción permitió a la Entidad notificar el reinicio de los trabajos a partir del 20/09/2025, garantizando la continuidad del proyecto. En cuanto al atraso acumulado en la ejecución, el contratista elaboro un nuevo calendario de obra (por la suspensión de plazo) en dicho calendario se estableció una programación actualizada, alineada con las metas vigentes y el ritmo real de avance de los trabajos.
Asi mismo con fecha 25/11/2025 se iniciaron las excavaciones en el CEBA (se prevé su culminación para la 15na de diciembre, de esta manera se podrá inicia con la etapa de estructuras)
En fecha 11 de noviembre del 2025 la Fiduciaria desembolso un monto S/.2,433,247.77; esta acción servirá al contratista para que pueda financiar el proyecto de manera que se pueda mitigar el atraso.</t>
  </si>
  <si>
    <t>Estado situacional: La obra tiene un atraso de 56.42%. La ejecución de la obra estuvo paralizada desde el 09 de agosto del 2025 por decisión unilateral del contratista al considerar un riesgo la continuidad de ejecución aduciendo extorsiones por parte de la comunidad. La Entidad ha solicitado de manera reiterativa el reinicio de la ejecución, en ese sentido con fecha 10 de setiembre del 2025, se sostuvo una reunión conjunta en la institución educativa entre la Entidad, contratista y supervisión, la misma que concluyo en el compromiso del contratista de reiniciar la ejecución de obra en fecha 15/09/2025. El referido compromiso se ha concretado generando el reinicio de obra el día 15/09/2025. La obra viene ejecutándose con normalidad mejorando el ritmo de avance en comparación a meses anteriores, se estima lograr la culminación de la obra con el ritmo y el compromiso asumido del contratista ejecutor.
Alertas: La paralización ha ocasionado que el atraso de la obra sea mayor dilatando la fecha estimada de culminación y poniendo en riesgo la continuidad del contrato. 
_x000B_Alternativas de solución: Inspecciones y reuniones concurrentes  para minimizar el atraso de la obra. Además, con fecha 07/11 la fiduciaria desembolso el Adelanto de materiales por el monto de S/ 901,271.64. El desembolso de este adelanto permitirá al contratista tener mayor liquidez para la inversión en la obra. Se espera tener avances significativos en el periodo de diciembre.</t>
  </si>
  <si>
    <t>Estado situacional: Se gestiono y se viene gestionando las siguientes prestaciones adicionales de obra, las cuales repercuten en el término de la obra: • Adicional N°06 de emergencia “Estabilización Temporal” (Culminado), • Adicional N°09 “Muro de Contención Reformulado” (El E.T fue presentado por la supervisión el 09/10 y con fecha 17/10 la entidad realizo observaciones en ese sentido la supervisión presentó la subsanación de obs., el 23/10. El adicional N°08 fue aprobado en fecha 10 de noviembre del 2025, iniciando su ejecución a partir del 11 de noviembre del 2025. En las tomas fotográficas mostradas se muestran los trabajos ejecutados en relación a dicho adicional.
• Adicional N°10 “Estabilización Definitiva” (en elaboración). A la fecha el expediente se encuentra en elaboración y su presentación a la supervisión se estima para fines de diciembre del 2025.
Alertas: El Adicional N°10, posterior a la aprobación por parte de la Entidad deberá remitirse a la Contraloría General de la Republica con la finalidad que autorice la ejecución y se realice el pago correspondiente debido a que se superará el 15% de porcentaje acumulado. Este tramite se encuentra estipulado en el articulo 206 del reglamento de la ley de contrataciones del estado.
Alternativas de solución: Se está coordinando con el contratista y el supervisor para acelerar la gestión en la elaboración del adicional N°10. El objetivo es que el expediente técnico sea aprobado a la brevedad posible para evitar mayores retrasos en la obra. La aprobación rápida de estos documentos es fundamental ya que el Adicional N°10 requerirá, además, la autorización de la Contraloría General de la República (CGR). A través de la reunión de JRD sostenida se ha ratificado la importancia de la urgentee presentación del adicional N°10 dado que el mismo marcara la culminación total de la obra.</t>
  </si>
  <si>
    <t>Estado situacional: Actualmente se vienen ejecutando trabajos de estructuras y acabados interiores, El Adicional de Obra N° 02 (96.57%), referido a obras de encauzamiento de aguas pluviales hacia el río Chumbao, se encuentra en su fase final de ejecución se prevé culminación en el periodo de Nov. Por su parte, el Adicional de Obra N° 04, que contempla la conexión de agua no potable mediante un pase aéreo sobre el río para el abastecimiento de la piscina y la cisterna de riego, fue presentado al ANA el 05/06. En este marco, el ANA realizó una inspección el 31/07 y sostuvo reuniones con el coordinador de obra entre el 25 y 29 de agosto. Como resultado, el 29/09 autorizó a la Asociación de Usuarios de Agua Potable San Jerónimo (ASUSAP) la ejecución de obras en fuentes naturales de agua vinculadas a la construcción del referido pase aéreo, lo que permitió al contratista iniciar con la elaboración del expediente técnico correspondiente. Con fecha 06/11 el supervisor presento a la entidad el Expediente técnico del adicional, la cual con fecha 24/11 la entidad realizo observaciones al E.T, 
Alertas: El atraso de la obra se debe a la falta de liquidez del contratista. La valorización de obra del periodo de Nov. asciende a S/ 630,000.00, la cual es muy bajo en comparación a la programación financiera (S/ 1.9mm). Se debe indicar que, de acuerdo a lo manifestado por el contratista, en reunión con la comunidad educativa de fecha 13 de octubre del 2025, la obra se culminaría en Junio 2026 debido a la falta de liquidez y al periodo de lluvias que se encuentra pronto a iniciar. También es importante mencionar que con fecha 25/11 se aprobó el calendario acelerado, razón por la cual se actualizo la programación, con la finalidad de cumplir con las metas.
Alternativas de solución: Como medida de mitigación se gestiono el cambio de garantía de fiel cumplimiento parcial, lo que permite al contratista contar con recursos  ascendentes a 4 MM aprox. En ese sentido, con fecha 23/10 se suscribió la adenda para la entrega del 5% de la garantía de fiel cumplimiento. Consecuentemente, con fecha 30/10 se realizo el devengado y giro correspondiente, por lo cual, a la fecha el contratista cuenta con los recursos habilitados en su cuenta. Esta acción permitirá impulsar la inversión en la ejecución de la obra, lo cual se vera reflejado en la valorizaciones siguientes.</t>
  </si>
  <si>
    <t>Estado situacional: Con fecha 07/11 el contratista ejecutor anota el termino de la obra, en ese sentido la supervisión en cumplimiento a sus obligaciones contractuales viene verificando las partidas ejecutadas al  100%.
_x000B_Alerta:  En fecha 11 de noviembre, la supervisión presento el certificado de conformidad técnica conforme a lo establecido en el articulo 208 del reglamento. En ese sentido, se ha programado la primera visita de recepción de obra a partir del día lunes 24 de noviembre del 2025. Se estima la recepción de la obra para Feb. 2026
Alternativa de solución / Acción: Con fecha 05 de diciembre del 2025 se suscribió el pliego de observaciones, a la fecha el contratista viene subsanando observaciones.</t>
  </si>
  <si>
    <t>Estado situacional: En fecha 10 de noviembre del 2025 se realizo la entrega de terreno en presencia del contratista, inspector de obra, alcalde de Santa Anita, director de la institución educativa y representantes de los padres de Familia. Se ha programado el inicio de ejecución de obra a partir del 11 de noviembre del 2025. Se vienen desarrollando los trabajos de demolición, por lo que se prevé culminar en el plazo previsto.
Alternativas de solución / Acciones: Sin riesgos a la fecha, se estima la culminación de demolición a fines de diciembre con lo cual se procederá a la recepción y resguardo del terreno hasta lograr la aprobación del expediente técnico de obra, convocatoria, contratación y consiguiente ejecución de la escuela permanente.</t>
  </si>
  <si>
    <t>Estado situacional: En fecha 04/12/2025 se realizo la entrega de terreno en presencia del contratista, inspector de obra, director de la institución educativa y representantes de los padres de Familia. Posterior a dicho evento se procedió con la suspensión de plazo debido a que en la institución educativa vienen realizando  labores estudiantiles, ante esta causal y además que la I.E., no cuenta con contingencia se procedió con suspender el plazo de inicio hasta el 20/12/2025.
Alternativas de solución / Acciones: La suspensión de plazo solo será por 14 dc, hasta que culmine las clases educativas de la I.E, a efectos de garantizar la integridad física de los estudiantes.</t>
  </si>
  <si>
    <t>Estado situacional: En fecha 04/12/2025 se realizo la entrega de terreno en presencia del contratista, inspector de obra, director de la institución educativa y representantes de los padres de Familia. Siendo este la ultima condición, el plazo de inicio se dio a partir del 06/12/2025.
Alternativas de solución / Acciones: A la fecha el contratista viene ejecutando la obra a un ritmo muy lento, se prevé tener avances significativos en la segunda quincena de diciembre.</t>
  </si>
  <si>
    <t>700724, 819250</t>
  </si>
  <si>
    <t>296392</t>
  </si>
  <si>
    <t>1100593</t>
  </si>
  <si>
    <t>586289, 694554, 1440957</t>
  </si>
  <si>
    <t>295790, 1321744, 1416197</t>
  </si>
  <si>
    <t>579326</t>
  </si>
  <si>
    <t>I.E. 1245 JOSE CARLOS MARIATEGUI</t>
  </si>
  <si>
    <t>IE 1211 JOSE MARIA ARGUEDAS ALTAMIRANO</t>
  </si>
  <si>
    <t xml:space="preserve">I.E. N° 0116 ABRAHAM VALDELOMAR </t>
  </si>
  <si>
    <t>CETPRO SAN CLEMENTE, ICA - PISCO - SAN CLEMENTE</t>
  </si>
  <si>
    <t>I.E. Nº 0390 - 5 INDEPENDENCIA</t>
  </si>
  <si>
    <t>I.E. 32494</t>
  </si>
  <si>
    <t>I.E. SAN JACINTO</t>
  </si>
  <si>
    <t>IE SALAVERRY</t>
  </si>
  <si>
    <t>I.E. SAN JUAN</t>
  </si>
  <si>
    <t>IE JAEN DE BRACAMOROS</t>
  </si>
  <si>
    <t>1035922
0558171
0372516</t>
  </si>
  <si>
    <t>0280859</t>
  </si>
  <si>
    <t>0275529
0275933</t>
  </si>
  <si>
    <t>0628164</t>
  </si>
  <si>
    <t>0207985</t>
  </si>
  <si>
    <t>0436634
1377035</t>
  </si>
  <si>
    <t>0339572
1063346
0334466
0495515</t>
  </si>
  <si>
    <t>339036
0336560</t>
  </si>
  <si>
    <t>0901124
0777235</t>
  </si>
  <si>
    <t>0336594
1098102</t>
  </si>
  <si>
    <t>0523670</t>
  </si>
  <si>
    <t>RESOLUCIÓN JEFATURAL UGEO N° 000113-2025-MINEDU-VMGI-PRONIED-UGEO</t>
  </si>
  <si>
    <t>RESOLUCION JEFATURAL UGEO-000027-2025-MINEDU-VMGI-PRONIED-UGEO</t>
  </si>
  <si>
    <t>RESOLUCION JEFATURAL UGEO-000001-2025-MINEDU-VMGI-PRONIED-UGEO</t>
  </si>
  <si>
    <t>RESOLUCIÓN JEFATURAL UGEO N° 000117-2025-MINEDU-VMGI-PRONIED-UGEO</t>
  </si>
  <si>
    <t>RESOLUCIÓN JEFATURAL UGEO N° 000084-2025-MINEDU-VMGI-PRONIED-UGEO</t>
  </si>
  <si>
    <t>RESOLUCIÓN JEFATURAL UGEO N° 000085-2025-MINEDU-VMGI-PRONIED-UGEO</t>
  </si>
  <si>
    <t>RESOLUCION JEFATURAL UGEO-000018-2025-MINEDU-VMGI-PRONIED-UGEO</t>
  </si>
  <si>
    <t>RESOLUCION JEFATURAL UGEO-000019-2025-MINEDU-VMGI-PRONIED-UGEO</t>
  </si>
  <si>
    <t>RESOLUCIÓN JEFATURAL UGEO N° 000045-2025-MINEDU-VMGI-PRONIED-UGEO</t>
  </si>
  <si>
    <t>RESOLUCIÓN JEFATURAL UGEO N° 000056-2025-MINEDU-VMGI-PRONIED-UGEO</t>
  </si>
  <si>
    <t>RESOLUCIÓN JEFATURAL UGEO N° 000122-2025-MINEDU-VMGI-PRONIED-UGEO</t>
  </si>
  <si>
    <t>IE SAN JOSE</t>
  </si>
  <si>
    <t xml:space="preserve">I.E. PRIMARIA DE MENORES N° 22481 </t>
  </si>
  <si>
    <t xml:space="preserve">I.E. SANTA ANA </t>
  </si>
  <si>
    <t>I.E.I N° 390-2 EL MILAGRO</t>
  </si>
  <si>
    <t>I.E. 5023 ABELARDO GAMARRA</t>
  </si>
  <si>
    <t>I.E. GLORIOSOS HÚSARES DE JUNÍN</t>
  </si>
  <si>
    <t>I.E. 1148 JUANA INFANTES VERA</t>
  </si>
  <si>
    <t>I.E. 0171 02</t>
  </si>
  <si>
    <t>I.E. JUAN PABLO VIZCARDO Y GUZMAN</t>
  </si>
  <si>
    <t xml:space="preserve"> I.E. 542 LOS SAUCES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</si>
</sst>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color theme="1"/>
      <name val="Arial"/>
      <family val="2"/>
    </font>
    <font>
      <sz val="11"/>
      <color theme="1"/>
      <name val="Calibri"/>
      <family val="2"/>
      <scheme val="minor"/>
    </font>
    <font>
      <b/>
      <sz val="12"/>
      <color theme="1"/>
      <name val="Arial"/>
      <family val="2"/>
    </font>
    <font>
      <sz val="10"/>
      <color rgb="FF000000"/>
      <name val="Arial"/>
      <family val="2"/>
    </font>
    <font>
      <sz val="1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theme="9" tint="0.39997558519241921"/>
      </top>
      <bottom style="thin">
        <color theme="9" tint="0.39997558519241921"/>
      </bottom>
      <diagonal/>
    </border>
  </borders>
  <cellStyleXfs count="2">
    <xf numFmtId="0" fontId="0" fillId="0" borderId="0"/>
    <xf numFmtId="9" fontId="2" fillId="0" borderId="0" applyFont="0" applyFill="0" applyBorder="0" applyAlignment="0" applyProtection="0"/>
  </cellStyleXfs>
  <cellXfs count="83">
    <xf numFmtId="0" fontId="0" fillId="0" borderId="0" xfId="0"/>
    <xf numFmtId="0" fontId="1"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9" fontId="1" fillId="0" borderId="0" xfId="1" applyFont="1" applyAlignment="1">
      <alignment vertical="center"/>
    </xf>
    <xf numFmtId="0" fontId="1" fillId="2" borderId="1" xfId="0" applyFont="1" applyFill="1" applyBorder="1" applyAlignment="1">
      <alignment horizontal="center" vertical="center" wrapText="1"/>
    </xf>
    <xf numFmtId="9" fontId="1" fillId="2" borderId="1" xfId="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64" fontId="1" fillId="0" borderId="0" xfId="0" applyNumberFormat="1" applyFont="1" applyAlignment="1">
      <alignment vertical="center"/>
    </xf>
    <xf numFmtId="14" fontId="1" fillId="0" borderId="0" xfId="0" applyNumberFormat="1" applyFont="1" applyAlignment="1">
      <alignment horizontal="center" vertical="center"/>
    </xf>
    <xf numFmtId="0" fontId="1" fillId="2" borderId="5" xfId="0" applyFont="1" applyFill="1" applyBorder="1" applyAlignment="1">
      <alignment horizontal="center" vertical="center" wrapText="1"/>
    </xf>
    <xf numFmtId="164" fontId="1" fillId="2" borderId="5" xfId="0" applyNumberFormat="1" applyFont="1" applyFill="1" applyBorder="1" applyAlignment="1">
      <alignment horizontal="center" vertical="center" wrapText="1"/>
    </xf>
    <xf numFmtId="0" fontId="4" fillId="0" borderId="1" xfId="0" applyFont="1" applyBorder="1" applyAlignment="1">
      <alignment vertical="center"/>
    </xf>
    <xf numFmtId="3" fontId="4" fillId="0" borderId="1" xfId="0" applyNumberFormat="1" applyFont="1" applyBorder="1" applyAlignment="1">
      <alignment horizontal="right" vertical="center"/>
    </xf>
    <xf numFmtId="0" fontId="5" fillId="0" borderId="1" xfId="0" applyFont="1" applyBorder="1" applyAlignment="1">
      <alignment vertical="center"/>
    </xf>
    <xf numFmtId="0" fontId="5" fillId="0" borderId="1" xfId="0" applyFont="1" applyBorder="1" applyAlignment="1">
      <alignment horizontal="center" vertical="center"/>
    </xf>
    <xf numFmtId="3" fontId="5" fillId="0" borderId="1" xfId="0" applyNumberFormat="1" applyFont="1" applyBorder="1" applyAlignment="1">
      <alignment horizontal="right" vertical="center"/>
    </xf>
    <xf numFmtId="0" fontId="1" fillId="0" borderId="0" xfId="0" applyFont="1" applyAlignment="1">
      <alignment horizontal="center" vertical="center"/>
    </xf>
    <xf numFmtId="0" fontId="4" fillId="0" borderId="1" xfId="0" applyFont="1" applyBorder="1" applyAlignment="1">
      <alignment horizontal="center" vertical="center"/>
    </xf>
    <xf numFmtId="9" fontId="1" fillId="0" borderId="1" xfId="1" applyFont="1" applyBorder="1" applyAlignment="1">
      <alignment horizontal="center" vertical="center"/>
    </xf>
    <xf numFmtId="0" fontId="1" fillId="3" borderId="1" xfId="0" applyFont="1" applyFill="1" applyBorder="1" applyAlignment="1">
      <alignment horizontal="center" vertical="center"/>
    </xf>
    <xf numFmtId="0" fontId="4" fillId="3" borderId="1" xfId="0" applyFont="1" applyFill="1" applyBorder="1" applyAlignment="1">
      <alignment horizontal="center" vertical="center"/>
    </xf>
    <xf numFmtId="164" fontId="1" fillId="3" borderId="1" xfId="0" applyNumberFormat="1" applyFont="1" applyFill="1" applyBorder="1" applyAlignment="1">
      <alignment vertical="center"/>
    </xf>
    <xf numFmtId="9" fontId="1" fillId="3" borderId="1" xfId="1" applyFont="1" applyFill="1" applyBorder="1" applyAlignment="1">
      <alignment horizontal="center" vertical="center"/>
    </xf>
    <xf numFmtId="14" fontId="1" fillId="3" borderId="1" xfId="0" applyNumberFormat="1" applyFont="1" applyFill="1" applyBorder="1" applyAlignment="1">
      <alignment horizontal="center" vertical="center"/>
    </xf>
    <xf numFmtId="0" fontId="1" fillId="3" borderId="1" xfId="0" applyFont="1" applyFill="1" applyBorder="1" applyAlignment="1">
      <alignment vertical="center"/>
    </xf>
    <xf numFmtId="0" fontId="1" fillId="3" borderId="0" xfId="0" applyFont="1" applyFill="1" applyAlignment="1">
      <alignment vertical="center"/>
    </xf>
    <xf numFmtId="0" fontId="1" fillId="4" borderId="1" xfId="0" applyFont="1" applyFill="1" applyBorder="1" applyAlignment="1">
      <alignment horizontal="center" vertical="center"/>
    </xf>
    <xf numFmtId="0" fontId="4" fillId="4" borderId="1" xfId="0" applyFont="1" applyFill="1" applyBorder="1" applyAlignment="1">
      <alignment horizontal="center" vertical="center"/>
    </xf>
    <xf numFmtId="164" fontId="1" fillId="4" borderId="1" xfId="0" applyNumberFormat="1" applyFont="1" applyFill="1" applyBorder="1" applyAlignment="1">
      <alignment vertical="center"/>
    </xf>
    <xf numFmtId="9" fontId="1" fillId="4" borderId="1" xfId="1" applyFont="1" applyFill="1" applyBorder="1" applyAlignment="1">
      <alignment horizontal="center" vertical="center"/>
    </xf>
    <xf numFmtId="0" fontId="1" fillId="4" borderId="1" xfId="0" applyFont="1" applyFill="1" applyBorder="1" applyAlignment="1">
      <alignment vertical="center"/>
    </xf>
    <xf numFmtId="0" fontId="1" fillId="4" borderId="0" xfId="0" applyFont="1" applyFill="1" applyAlignment="1">
      <alignment vertical="center"/>
    </xf>
    <xf numFmtId="14" fontId="1" fillId="4" borderId="1" xfId="0" applyNumberFormat="1" applyFont="1" applyFill="1" applyBorder="1" applyAlignment="1">
      <alignment horizontal="center" vertical="center"/>
    </xf>
    <xf numFmtId="14" fontId="1" fillId="4" borderId="1" xfId="1" applyNumberFormat="1" applyFont="1" applyFill="1" applyBorder="1" applyAlignment="1">
      <alignment horizontal="center" vertical="center"/>
    </xf>
    <xf numFmtId="14" fontId="1" fillId="3" borderId="1" xfId="1" applyNumberFormat="1" applyFont="1" applyFill="1" applyBorder="1" applyAlignment="1">
      <alignment horizontal="center" vertical="center"/>
    </xf>
    <xf numFmtId="9" fontId="1" fillId="0" borderId="1" xfId="1" applyFont="1" applyBorder="1" applyAlignment="1">
      <alignment horizontal="right" vertical="center"/>
    </xf>
    <xf numFmtId="9" fontId="1" fillId="3" borderId="1" xfId="1" applyFont="1" applyFill="1" applyBorder="1" applyAlignment="1">
      <alignment horizontal="right" vertical="center"/>
    </xf>
    <xf numFmtId="9" fontId="1" fillId="4" borderId="1" xfId="1" applyFont="1" applyFill="1" applyBorder="1" applyAlignment="1">
      <alignment horizontal="right" vertical="center"/>
    </xf>
    <xf numFmtId="9" fontId="1" fillId="0" borderId="0" xfId="1" applyFont="1" applyAlignment="1">
      <alignment horizontal="right" vertical="center"/>
    </xf>
    <xf numFmtId="3" fontId="1" fillId="3" borderId="1" xfId="0" applyNumberFormat="1" applyFont="1" applyFill="1" applyBorder="1" applyAlignment="1">
      <alignment horizontal="right" vertical="center"/>
    </xf>
    <xf numFmtId="3" fontId="1" fillId="4" borderId="1" xfId="0" applyNumberFormat="1" applyFont="1" applyFill="1" applyBorder="1" applyAlignment="1">
      <alignment horizontal="right" vertical="center"/>
    </xf>
    <xf numFmtId="3" fontId="1" fillId="0" borderId="0" xfId="0" applyNumberFormat="1" applyFont="1" applyAlignment="1">
      <alignment horizontal="right" vertical="center"/>
    </xf>
    <xf numFmtId="14" fontId="1" fillId="0" borderId="1" xfId="1" applyNumberFormat="1" applyFont="1" applyBorder="1" applyAlignment="1">
      <alignment horizontal="center" vertical="center"/>
    </xf>
    <xf numFmtId="0" fontId="1" fillId="5" borderId="1" xfId="0" applyFont="1" applyFill="1" applyBorder="1" applyAlignment="1">
      <alignment horizontal="center" vertical="center"/>
    </xf>
    <xf numFmtId="0" fontId="4" fillId="5" borderId="1" xfId="0" applyFont="1" applyFill="1" applyBorder="1" applyAlignment="1">
      <alignment horizontal="center" vertical="center"/>
    </xf>
    <xf numFmtId="164" fontId="1" fillId="5" borderId="1" xfId="0" applyNumberFormat="1" applyFont="1" applyFill="1" applyBorder="1" applyAlignment="1">
      <alignment vertical="center"/>
    </xf>
    <xf numFmtId="9" fontId="1" fillId="5" borderId="1" xfId="1" applyFont="1" applyFill="1" applyBorder="1" applyAlignment="1">
      <alignment horizontal="right" vertical="center"/>
    </xf>
    <xf numFmtId="9" fontId="1" fillId="5" borderId="1" xfId="1" applyFont="1" applyFill="1" applyBorder="1" applyAlignment="1">
      <alignment horizontal="center" vertical="center"/>
    </xf>
    <xf numFmtId="3" fontId="1" fillId="5" borderId="1" xfId="0" applyNumberFormat="1" applyFont="1" applyFill="1" applyBorder="1" applyAlignment="1">
      <alignment horizontal="right" vertical="center"/>
    </xf>
    <xf numFmtId="14" fontId="1" fillId="5" borderId="1" xfId="1" applyNumberFormat="1" applyFont="1" applyFill="1" applyBorder="1" applyAlignment="1">
      <alignment horizontal="center" vertical="center"/>
    </xf>
    <xf numFmtId="0" fontId="1" fillId="5" borderId="1" xfId="0" applyFont="1" applyFill="1" applyBorder="1" applyAlignment="1">
      <alignment vertical="center"/>
    </xf>
    <xf numFmtId="0" fontId="1" fillId="5" borderId="0" xfId="0" applyFont="1" applyFill="1" applyAlignment="1">
      <alignment vertical="center"/>
    </xf>
    <xf numFmtId="0" fontId="1" fillId="4" borderId="1" xfId="0" applyFont="1" applyFill="1" applyBorder="1" applyAlignment="1">
      <alignment vertical="center" wrapText="1"/>
    </xf>
    <xf numFmtId="0" fontId="0" fillId="6" borderId="6" xfId="0" applyFont="1" applyFill="1" applyBorder="1"/>
    <xf numFmtId="0" fontId="4" fillId="4" borderId="1" xfId="0" applyFont="1" applyFill="1" applyBorder="1" applyAlignment="1">
      <alignment horizontal="center" vertical="center" wrapText="1"/>
    </xf>
    <xf numFmtId="0" fontId="0" fillId="6" borderId="6" xfId="0" applyFont="1" applyFill="1" applyBorder="1" applyAlignment="1">
      <alignment horizontal="center" vertical="center"/>
    </xf>
    <xf numFmtId="0" fontId="1" fillId="5" borderId="1" xfId="0" applyFont="1" applyFill="1" applyBorder="1" applyAlignment="1">
      <alignment vertical="center" wrapText="1"/>
    </xf>
    <xf numFmtId="0" fontId="1" fillId="3" borderId="1" xfId="0" applyFont="1" applyFill="1" applyBorder="1" applyAlignment="1">
      <alignment vertical="center" wrapText="1"/>
    </xf>
    <xf numFmtId="0" fontId="1" fillId="7" borderId="1" xfId="0" applyFont="1" applyFill="1" applyBorder="1" applyAlignment="1">
      <alignment horizontal="center" vertical="center"/>
    </xf>
    <xf numFmtId="164" fontId="1" fillId="7" borderId="1" xfId="0" applyNumberFormat="1" applyFont="1" applyFill="1" applyBorder="1" applyAlignment="1">
      <alignment vertical="center"/>
    </xf>
    <xf numFmtId="0" fontId="1" fillId="7" borderId="1" xfId="0" applyFont="1" applyFill="1" applyBorder="1" applyAlignment="1">
      <alignment vertical="center"/>
    </xf>
    <xf numFmtId="9" fontId="1" fillId="7" borderId="1" xfId="1" applyFont="1" applyFill="1" applyBorder="1" applyAlignment="1">
      <alignment horizontal="center" vertical="center"/>
    </xf>
    <xf numFmtId="9" fontId="1" fillId="7" borderId="1" xfId="1" applyFont="1" applyFill="1" applyBorder="1" applyAlignment="1">
      <alignment horizontal="right" vertical="center"/>
    </xf>
    <xf numFmtId="3" fontId="1" fillId="7" borderId="1" xfId="0" applyNumberFormat="1" applyFont="1" applyFill="1" applyBorder="1" applyAlignment="1">
      <alignment horizontal="right" vertical="center"/>
    </xf>
    <xf numFmtId="14" fontId="1" fillId="7" borderId="1" xfId="1" applyNumberFormat="1" applyFont="1" applyFill="1" applyBorder="1" applyAlignment="1">
      <alignment horizontal="center" vertical="center"/>
    </xf>
    <xf numFmtId="0" fontId="1" fillId="7" borderId="1" xfId="0" applyFont="1" applyFill="1" applyBorder="1" applyAlignment="1">
      <alignment vertical="center" wrapText="1"/>
    </xf>
    <xf numFmtId="0" fontId="1" fillId="7" borderId="0" xfId="0" applyFont="1" applyFill="1" applyAlignment="1">
      <alignment vertical="center"/>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4" fillId="8" borderId="1" xfId="0" applyFont="1" applyFill="1" applyBorder="1" applyAlignment="1">
      <alignment horizontal="center" vertical="center"/>
    </xf>
    <xf numFmtId="164" fontId="1" fillId="8" borderId="1" xfId="0" applyNumberFormat="1" applyFont="1" applyFill="1" applyBorder="1" applyAlignment="1">
      <alignment vertical="center"/>
    </xf>
    <xf numFmtId="0" fontId="1" fillId="8" borderId="1" xfId="0" applyFont="1" applyFill="1" applyBorder="1" applyAlignment="1">
      <alignment vertical="center"/>
    </xf>
    <xf numFmtId="9" fontId="1" fillId="8" borderId="1" xfId="1" applyFont="1" applyFill="1" applyBorder="1" applyAlignment="1">
      <alignment horizontal="right" vertical="center"/>
    </xf>
    <xf numFmtId="9" fontId="1" fillId="8" borderId="1" xfId="1" applyFont="1" applyFill="1" applyBorder="1" applyAlignment="1">
      <alignment horizontal="center" vertical="center"/>
    </xf>
    <xf numFmtId="3" fontId="1" fillId="8" borderId="1" xfId="0" applyNumberFormat="1" applyFont="1" applyFill="1" applyBorder="1" applyAlignment="1">
      <alignment horizontal="right" vertical="center"/>
    </xf>
    <xf numFmtId="14" fontId="1" fillId="8" borderId="1" xfId="1" applyNumberFormat="1" applyFont="1" applyFill="1" applyBorder="1" applyAlignment="1">
      <alignment horizontal="center" vertical="center"/>
    </xf>
    <xf numFmtId="0" fontId="1" fillId="8" borderId="0" xfId="0" applyFont="1" applyFill="1" applyAlignment="1">
      <alignment vertical="center"/>
    </xf>
    <xf numFmtId="0" fontId="1" fillId="9" borderId="0" xfId="0" applyFont="1" applyFill="1" applyAlignment="1">
      <alignmen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4" xfId="0" applyFont="1" applyFill="1" applyBorder="1" applyAlignment="1">
      <alignment horizontal="left"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geo08/Downloads/SEEK-OBRAS-I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EK"/>
      <sheetName val="Lc"/>
      <sheetName val="Ls"/>
      <sheetName val="Cr"/>
      <sheetName val="Dg"/>
      <sheetName val="Curva S"/>
      <sheetName val="Ft"/>
      <sheetName val="Am"/>
      <sheetName val="Reportes"/>
      <sheetName val="BD1"/>
      <sheetName val="BD2"/>
      <sheetName val="BD3"/>
      <sheetName val="Aux"/>
    </sheetNames>
    <sheetDataSet>
      <sheetData sheetId="0"/>
      <sheetData sheetId="1"/>
      <sheetData sheetId="2"/>
      <sheetData sheetId="3"/>
      <sheetData sheetId="4"/>
      <sheetData sheetId="5"/>
      <sheetData sheetId="6"/>
      <sheetData sheetId="7"/>
      <sheetData sheetId="8">
        <row r="2">
          <cell r="BK2">
            <v>2</v>
          </cell>
        </row>
        <row r="3">
          <cell r="BK3">
            <v>16</v>
          </cell>
        </row>
      </sheetData>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
  <sheetViews>
    <sheetView showGridLines="0" tabSelected="1" zoomScale="71" zoomScaleNormal="71" workbookViewId="0">
      <pane xSplit="3" ySplit="3" topLeftCell="D4" activePane="bottomRight" state="frozen"/>
      <selection pane="topRight" activeCell="D1" sqref="D1"/>
      <selection pane="bottomLeft" activeCell="A4" sqref="A4"/>
      <selection pane="bottomRight" activeCell="A4" sqref="A4"/>
    </sheetView>
  </sheetViews>
  <sheetFormatPr baseColWidth="10" defaultColWidth="9.140625" defaultRowHeight="12.75" x14ac:dyDescent="0.25"/>
  <cols>
    <col min="1" max="1" width="7.42578125" style="1" bestFit="1" customWidth="1"/>
    <col min="2" max="3" width="10.7109375" style="18" customWidth="1"/>
    <col min="4" max="4" width="20.28515625" style="18" customWidth="1"/>
    <col min="5" max="5" width="20.7109375" style="18" customWidth="1"/>
    <col min="6" max="6" width="15.7109375" style="9" customWidth="1"/>
    <col min="7" max="8" width="31.28515625" style="1" customWidth="1"/>
    <col min="9" max="9" width="17.140625" style="40" customWidth="1"/>
    <col min="10" max="10" width="17.140625" style="4" customWidth="1"/>
    <col min="11" max="11" width="22.28515625" style="43" customWidth="1"/>
    <col min="12" max="16" width="17.42578125" style="10" customWidth="1"/>
    <col min="17" max="17" width="47" style="1" customWidth="1"/>
    <col min="18" max="18" width="46" style="1" customWidth="1"/>
    <col min="19" max="16384" width="9.140625" style="1"/>
  </cols>
  <sheetData>
    <row r="1" spans="1:19" ht="30" customHeight="1" thickBot="1" x14ac:dyDescent="0.3">
      <c r="A1" s="80" t="s">
        <v>0</v>
      </c>
      <c r="B1" s="81"/>
      <c r="C1" s="81"/>
      <c r="D1" s="81"/>
      <c r="E1" s="81"/>
      <c r="F1" s="81"/>
      <c r="G1" s="81"/>
      <c r="H1" s="81"/>
      <c r="I1" s="81"/>
      <c r="J1" s="81"/>
      <c r="K1" s="81"/>
      <c r="L1" s="81"/>
      <c r="M1" s="81"/>
      <c r="N1" s="81"/>
      <c r="O1" s="81"/>
      <c r="P1" s="81"/>
      <c r="Q1" s="82"/>
    </row>
    <row r="3" spans="1:19" ht="38.25" x14ac:dyDescent="0.25">
      <c r="A3" s="11" t="s">
        <v>1</v>
      </c>
      <c r="B3" s="11" t="s">
        <v>2</v>
      </c>
      <c r="C3" s="11" t="s">
        <v>3</v>
      </c>
      <c r="D3" s="11" t="s">
        <v>4</v>
      </c>
      <c r="E3" s="11" t="s">
        <v>5</v>
      </c>
      <c r="F3" s="12" t="s">
        <v>6</v>
      </c>
      <c r="G3" s="11" t="s">
        <v>7</v>
      </c>
      <c r="H3" s="5" t="s">
        <v>8</v>
      </c>
      <c r="I3" s="6" t="s">
        <v>9</v>
      </c>
      <c r="J3" s="6" t="s">
        <v>10</v>
      </c>
      <c r="K3" s="7" t="s">
        <v>11</v>
      </c>
      <c r="L3" s="8" t="s">
        <v>12</v>
      </c>
      <c r="M3" s="8" t="s">
        <v>13</v>
      </c>
      <c r="N3" s="8" t="s">
        <v>14</v>
      </c>
      <c r="O3" s="8" t="s">
        <v>15</v>
      </c>
      <c r="P3" s="8" t="s">
        <v>16</v>
      </c>
      <c r="Q3" s="5" t="s">
        <v>17</v>
      </c>
      <c r="R3" s="5" t="s">
        <v>18</v>
      </c>
    </row>
    <row r="4" spans="1:19" ht="22.5" customHeight="1" x14ac:dyDescent="0.25">
      <c r="A4" s="2">
        <v>1</v>
      </c>
      <c r="B4" s="19">
        <v>2716110</v>
      </c>
      <c r="C4" s="2">
        <v>120291</v>
      </c>
      <c r="D4" s="19" t="s">
        <v>19</v>
      </c>
      <c r="E4" s="2" t="s">
        <v>20</v>
      </c>
      <c r="F4" s="14">
        <v>30113023</v>
      </c>
      <c r="G4" s="2" t="s">
        <v>21</v>
      </c>
      <c r="H4" s="20" t="s">
        <v>19</v>
      </c>
      <c r="I4" s="37" t="s">
        <v>19</v>
      </c>
      <c r="J4" s="20" t="s">
        <v>19</v>
      </c>
      <c r="K4" s="37" t="s">
        <v>19</v>
      </c>
      <c r="L4" s="44" t="s">
        <v>19</v>
      </c>
      <c r="M4" s="44" t="s">
        <v>19</v>
      </c>
      <c r="N4" s="44" t="s">
        <v>19</v>
      </c>
      <c r="O4" s="20" t="s">
        <v>19</v>
      </c>
      <c r="P4" s="20" t="s">
        <v>19</v>
      </c>
      <c r="Q4" s="3" t="s">
        <v>22</v>
      </c>
      <c r="R4" s="13" t="s">
        <v>23</v>
      </c>
      <c r="S4" s="1" t="s">
        <v>24</v>
      </c>
    </row>
    <row r="5" spans="1:19" ht="22.5" customHeight="1" x14ac:dyDescent="0.25">
      <c r="A5" s="2">
        <f t="shared" ref="A5:A31" si="0">+A4+1</f>
        <v>2</v>
      </c>
      <c r="B5" s="19">
        <v>2700326</v>
      </c>
      <c r="C5" s="2">
        <v>305652</v>
      </c>
      <c r="D5" s="19" t="s">
        <v>19</v>
      </c>
      <c r="E5" s="2" t="s">
        <v>20</v>
      </c>
      <c r="F5" s="14">
        <v>15480457</v>
      </c>
      <c r="G5" s="2" t="s">
        <v>21</v>
      </c>
      <c r="H5" s="20" t="s">
        <v>19</v>
      </c>
      <c r="I5" s="37" t="s">
        <v>19</v>
      </c>
      <c r="J5" s="20" t="s">
        <v>19</v>
      </c>
      <c r="K5" s="37" t="s">
        <v>19</v>
      </c>
      <c r="L5" s="44" t="s">
        <v>19</v>
      </c>
      <c r="M5" s="44" t="s">
        <v>19</v>
      </c>
      <c r="N5" s="44" t="s">
        <v>19</v>
      </c>
      <c r="O5" s="20" t="s">
        <v>19</v>
      </c>
      <c r="P5" s="20" t="s">
        <v>19</v>
      </c>
      <c r="Q5" s="3" t="s">
        <v>22</v>
      </c>
      <c r="R5" s="13" t="s">
        <v>25</v>
      </c>
      <c r="S5" s="1" t="s">
        <v>24</v>
      </c>
    </row>
    <row r="6" spans="1:19" ht="22.5" customHeight="1" x14ac:dyDescent="0.25">
      <c r="A6" s="2">
        <f t="shared" si="0"/>
        <v>3</v>
      </c>
      <c r="B6" s="16">
        <v>2676189</v>
      </c>
      <c r="C6" s="2">
        <v>244951</v>
      </c>
      <c r="D6" s="19" t="s">
        <v>19</v>
      </c>
      <c r="E6" s="2" t="s">
        <v>20</v>
      </c>
      <c r="F6" s="14">
        <v>34602979</v>
      </c>
      <c r="G6" s="2" t="s">
        <v>21</v>
      </c>
      <c r="H6" s="20" t="s">
        <v>19</v>
      </c>
      <c r="I6" s="37" t="s">
        <v>19</v>
      </c>
      <c r="J6" s="20" t="s">
        <v>19</v>
      </c>
      <c r="K6" s="37" t="s">
        <v>19</v>
      </c>
      <c r="L6" s="44" t="s">
        <v>19</v>
      </c>
      <c r="M6" s="44" t="s">
        <v>19</v>
      </c>
      <c r="N6" s="44" t="s">
        <v>19</v>
      </c>
      <c r="O6" s="20" t="s">
        <v>19</v>
      </c>
      <c r="P6" s="20" t="s">
        <v>19</v>
      </c>
      <c r="Q6" s="3" t="s">
        <v>26</v>
      </c>
      <c r="R6" s="13" t="s">
        <v>27</v>
      </c>
      <c r="S6" s="1" t="s">
        <v>24</v>
      </c>
    </row>
    <row r="7" spans="1:19" ht="22.5" customHeight="1" x14ac:dyDescent="0.25">
      <c r="A7" s="2">
        <f t="shared" si="0"/>
        <v>4</v>
      </c>
      <c r="B7" s="16">
        <v>2700330</v>
      </c>
      <c r="C7" s="2">
        <v>296539</v>
      </c>
      <c r="D7" s="19" t="s">
        <v>19</v>
      </c>
      <c r="E7" s="2" t="s">
        <v>20</v>
      </c>
      <c r="F7" s="14">
        <v>9289935</v>
      </c>
      <c r="G7" s="2" t="s">
        <v>21</v>
      </c>
      <c r="H7" s="20" t="s">
        <v>19</v>
      </c>
      <c r="I7" s="37" t="s">
        <v>19</v>
      </c>
      <c r="J7" s="20" t="s">
        <v>19</v>
      </c>
      <c r="K7" s="37" t="s">
        <v>19</v>
      </c>
      <c r="L7" s="44" t="s">
        <v>19</v>
      </c>
      <c r="M7" s="44" t="s">
        <v>19</v>
      </c>
      <c r="N7" s="44" t="s">
        <v>19</v>
      </c>
      <c r="O7" s="20" t="s">
        <v>19</v>
      </c>
      <c r="P7" s="20" t="s">
        <v>19</v>
      </c>
      <c r="Q7" s="3" t="s">
        <v>22</v>
      </c>
      <c r="R7" s="13" t="s">
        <v>28</v>
      </c>
      <c r="S7" s="1" t="s">
        <v>24</v>
      </c>
    </row>
    <row r="8" spans="1:19" ht="22.5" customHeight="1" x14ac:dyDescent="0.25">
      <c r="A8" s="2">
        <f t="shared" si="0"/>
        <v>5</v>
      </c>
      <c r="B8" s="16">
        <v>2716112</v>
      </c>
      <c r="C8" s="2">
        <v>310998</v>
      </c>
      <c r="D8" s="19" t="s">
        <v>19</v>
      </c>
      <c r="E8" s="2" t="s">
        <v>20</v>
      </c>
      <c r="F8" s="14">
        <v>47743585</v>
      </c>
      <c r="G8" s="2" t="s">
        <v>21</v>
      </c>
      <c r="H8" s="20" t="s">
        <v>19</v>
      </c>
      <c r="I8" s="37" t="s">
        <v>19</v>
      </c>
      <c r="J8" s="20" t="s">
        <v>19</v>
      </c>
      <c r="K8" s="37" t="s">
        <v>19</v>
      </c>
      <c r="L8" s="44" t="s">
        <v>19</v>
      </c>
      <c r="M8" s="44" t="s">
        <v>19</v>
      </c>
      <c r="N8" s="44" t="s">
        <v>19</v>
      </c>
      <c r="O8" s="20" t="s">
        <v>19</v>
      </c>
      <c r="P8" s="20" t="s">
        <v>19</v>
      </c>
      <c r="Q8" s="3" t="s">
        <v>22</v>
      </c>
      <c r="R8" s="13" t="s">
        <v>29</v>
      </c>
      <c r="S8" s="1" t="s">
        <v>24</v>
      </c>
    </row>
    <row r="9" spans="1:19" ht="22.5" customHeight="1" x14ac:dyDescent="0.25">
      <c r="A9" s="2">
        <f t="shared" si="0"/>
        <v>6</v>
      </c>
      <c r="B9" s="16">
        <v>2716119</v>
      </c>
      <c r="C9" s="2" t="s">
        <v>30</v>
      </c>
      <c r="D9" s="19" t="s">
        <v>19</v>
      </c>
      <c r="E9" s="2" t="s">
        <v>20</v>
      </c>
      <c r="F9" s="14">
        <v>27824216</v>
      </c>
      <c r="G9" s="2" t="s">
        <v>21</v>
      </c>
      <c r="H9" s="20" t="s">
        <v>19</v>
      </c>
      <c r="I9" s="37" t="s">
        <v>19</v>
      </c>
      <c r="J9" s="20" t="s">
        <v>19</v>
      </c>
      <c r="K9" s="37" t="s">
        <v>19</v>
      </c>
      <c r="L9" s="44" t="s">
        <v>19</v>
      </c>
      <c r="M9" s="44" t="s">
        <v>19</v>
      </c>
      <c r="N9" s="44" t="s">
        <v>19</v>
      </c>
      <c r="O9" s="20" t="s">
        <v>19</v>
      </c>
      <c r="P9" s="20" t="s">
        <v>19</v>
      </c>
      <c r="Q9" s="3" t="s">
        <v>22</v>
      </c>
      <c r="R9" s="13" t="s">
        <v>31</v>
      </c>
      <c r="S9" s="1" t="s">
        <v>24</v>
      </c>
    </row>
    <row r="10" spans="1:19" ht="22.5" customHeight="1" x14ac:dyDescent="0.25">
      <c r="A10" s="2">
        <f t="shared" si="0"/>
        <v>7</v>
      </c>
      <c r="B10" s="16">
        <v>2716349</v>
      </c>
      <c r="C10" s="16">
        <v>292273</v>
      </c>
      <c r="D10" s="19" t="s">
        <v>19</v>
      </c>
      <c r="E10" s="16" t="s">
        <v>32</v>
      </c>
      <c r="F10" s="17">
        <v>3535461</v>
      </c>
      <c r="G10" s="2" t="s">
        <v>21</v>
      </c>
      <c r="H10" s="20" t="s">
        <v>19</v>
      </c>
      <c r="I10" s="37" t="s">
        <v>19</v>
      </c>
      <c r="J10" s="20" t="s">
        <v>19</v>
      </c>
      <c r="K10" s="37" t="s">
        <v>19</v>
      </c>
      <c r="L10" s="44" t="s">
        <v>19</v>
      </c>
      <c r="M10" s="44" t="s">
        <v>19</v>
      </c>
      <c r="N10" s="44" t="s">
        <v>19</v>
      </c>
      <c r="O10" s="20" t="s">
        <v>19</v>
      </c>
      <c r="P10" s="20" t="s">
        <v>19</v>
      </c>
      <c r="Q10" s="3" t="s">
        <v>22</v>
      </c>
      <c r="R10" s="15" t="s">
        <v>33</v>
      </c>
      <c r="S10" s="1" t="s">
        <v>24</v>
      </c>
    </row>
    <row r="11" spans="1:19" ht="22.5" customHeight="1" x14ac:dyDescent="0.25">
      <c r="A11" s="2">
        <f t="shared" si="0"/>
        <v>8</v>
      </c>
      <c r="B11" s="16">
        <v>2676185</v>
      </c>
      <c r="C11" s="2">
        <v>254011</v>
      </c>
      <c r="D11" s="19" t="s">
        <v>19</v>
      </c>
      <c r="E11" s="2" t="s">
        <v>20</v>
      </c>
      <c r="F11" s="14">
        <v>49602869</v>
      </c>
      <c r="G11" s="2" t="s">
        <v>21</v>
      </c>
      <c r="H11" s="20" t="s">
        <v>19</v>
      </c>
      <c r="I11" s="37" t="s">
        <v>19</v>
      </c>
      <c r="J11" s="20" t="s">
        <v>19</v>
      </c>
      <c r="K11" s="37" t="s">
        <v>19</v>
      </c>
      <c r="L11" s="44" t="s">
        <v>19</v>
      </c>
      <c r="M11" s="44" t="s">
        <v>19</v>
      </c>
      <c r="N11" s="44" t="s">
        <v>19</v>
      </c>
      <c r="O11" s="20" t="s">
        <v>19</v>
      </c>
      <c r="P11" s="20" t="s">
        <v>19</v>
      </c>
      <c r="Q11" s="3" t="s">
        <v>22</v>
      </c>
      <c r="R11" s="13" t="s">
        <v>34</v>
      </c>
      <c r="S11" s="1" t="s">
        <v>24</v>
      </c>
    </row>
    <row r="12" spans="1:19" ht="22.5" customHeight="1" x14ac:dyDescent="0.25">
      <c r="A12" s="2">
        <f t="shared" si="0"/>
        <v>9</v>
      </c>
      <c r="B12" s="16">
        <v>2676186</v>
      </c>
      <c r="C12" s="2">
        <v>480684</v>
      </c>
      <c r="D12" s="19" t="s">
        <v>19</v>
      </c>
      <c r="E12" s="2" t="s">
        <v>20</v>
      </c>
      <c r="F12" s="14">
        <v>53488196</v>
      </c>
      <c r="G12" s="2" t="s">
        <v>21</v>
      </c>
      <c r="H12" s="20" t="s">
        <v>19</v>
      </c>
      <c r="I12" s="37" t="s">
        <v>19</v>
      </c>
      <c r="J12" s="20" t="s">
        <v>19</v>
      </c>
      <c r="K12" s="37" t="s">
        <v>19</v>
      </c>
      <c r="L12" s="44" t="s">
        <v>19</v>
      </c>
      <c r="M12" s="44" t="s">
        <v>19</v>
      </c>
      <c r="N12" s="44" t="s">
        <v>19</v>
      </c>
      <c r="O12" s="20" t="s">
        <v>19</v>
      </c>
      <c r="P12" s="20" t="s">
        <v>19</v>
      </c>
      <c r="Q12" s="3" t="s">
        <v>22</v>
      </c>
      <c r="R12" s="13" t="s">
        <v>35</v>
      </c>
      <c r="S12" s="1" t="s">
        <v>24</v>
      </c>
    </row>
    <row r="13" spans="1:19" ht="22.5" customHeight="1" x14ac:dyDescent="0.25">
      <c r="A13" s="2">
        <f t="shared" si="0"/>
        <v>10</v>
      </c>
      <c r="B13" s="16">
        <v>2716108</v>
      </c>
      <c r="C13" s="2">
        <v>346643</v>
      </c>
      <c r="D13" s="19" t="s">
        <v>19</v>
      </c>
      <c r="E13" s="2" t="s">
        <v>20</v>
      </c>
      <c r="F13" s="14">
        <v>49745953</v>
      </c>
      <c r="G13" s="2" t="s">
        <v>21</v>
      </c>
      <c r="H13" s="20" t="s">
        <v>19</v>
      </c>
      <c r="I13" s="37" t="s">
        <v>19</v>
      </c>
      <c r="J13" s="20" t="s">
        <v>19</v>
      </c>
      <c r="K13" s="37" t="s">
        <v>19</v>
      </c>
      <c r="L13" s="44" t="s">
        <v>19</v>
      </c>
      <c r="M13" s="44" t="s">
        <v>19</v>
      </c>
      <c r="N13" s="44" t="s">
        <v>19</v>
      </c>
      <c r="O13" s="20" t="s">
        <v>19</v>
      </c>
      <c r="P13" s="20" t="s">
        <v>19</v>
      </c>
      <c r="Q13" s="3" t="s">
        <v>26</v>
      </c>
      <c r="R13" s="13" t="s">
        <v>36</v>
      </c>
      <c r="S13" s="1" t="s">
        <v>24</v>
      </c>
    </row>
    <row r="14" spans="1:19" ht="22.5" customHeight="1" x14ac:dyDescent="0.25">
      <c r="A14" s="2">
        <f t="shared" si="0"/>
        <v>11</v>
      </c>
      <c r="B14" s="19">
        <v>2700331</v>
      </c>
      <c r="C14" s="2">
        <v>318254</v>
      </c>
      <c r="D14" s="19" t="s">
        <v>19</v>
      </c>
      <c r="E14" s="2" t="s">
        <v>20</v>
      </c>
      <c r="F14" s="14">
        <v>98472987</v>
      </c>
      <c r="G14" s="2" t="s">
        <v>21</v>
      </c>
      <c r="H14" s="20" t="s">
        <v>19</v>
      </c>
      <c r="I14" s="37" t="s">
        <v>19</v>
      </c>
      <c r="J14" s="20" t="s">
        <v>19</v>
      </c>
      <c r="K14" s="37" t="s">
        <v>19</v>
      </c>
      <c r="L14" s="44" t="s">
        <v>19</v>
      </c>
      <c r="M14" s="44" t="s">
        <v>19</v>
      </c>
      <c r="N14" s="44" t="s">
        <v>19</v>
      </c>
      <c r="O14" s="20" t="s">
        <v>19</v>
      </c>
      <c r="P14" s="20" t="s">
        <v>19</v>
      </c>
      <c r="Q14" s="3" t="s">
        <v>22</v>
      </c>
      <c r="R14" s="15" t="s">
        <v>37</v>
      </c>
      <c r="S14" s="1" t="s">
        <v>24</v>
      </c>
    </row>
    <row r="15" spans="1:19" ht="22.5" customHeight="1" x14ac:dyDescent="0.25">
      <c r="A15" s="2">
        <f t="shared" si="0"/>
        <v>12</v>
      </c>
      <c r="B15" s="19">
        <v>2718269</v>
      </c>
      <c r="C15" s="2">
        <v>301866</v>
      </c>
      <c r="D15" s="19" t="s">
        <v>19</v>
      </c>
      <c r="E15" s="2" t="s">
        <v>20</v>
      </c>
      <c r="F15" s="14">
        <v>26486505</v>
      </c>
      <c r="G15" s="2" t="s">
        <v>21</v>
      </c>
      <c r="H15" s="20" t="s">
        <v>19</v>
      </c>
      <c r="I15" s="37" t="s">
        <v>19</v>
      </c>
      <c r="J15" s="20" t="s">
        <v>19</v>
      </c>
      <c r="K15" s="37" t="s">
        <v>19</v>
      </c>
      <c r="L15" s="44" t="s">
        <v>19</v>
      </c>
      <c r="M15" s="44" t="s">
        <v>19</v>
      </c>
      <c r="N15" s="44" t="s">
        <v>19</v>
      </c>
      <c r="O15" s="20" t="s">
        <v>19</v>
      </c>
      <c r="P15" s="20" t="s">
        <v>19</v>
      </c>
      <c r="Q15" s="3" t="s">
        <v>22</v>
      </c>
      <c r="R15" s="15" t="s">
        <v>38</v>
      </c>
      <c r="S15" s="1" t="s">
        <v>24</v>
      </c>
    </row>
    <row r="16" spans="1:19" s="27" customFormat="1" ht="22.5" customHeight="1" x14ac:dyDescent="0.25">
      <c r="A16" s="28">
        <f t="shared" si="0"/>
        <v>13</v>
      </c>
      <c r="B16" s="28">
        <v>2113989</v>
      </c>
      <c r="C16" s="28" t="s">
        <v>58</v>
      </c>
      <c r="D16" s="29"/>
      <c r="E16" s="29" t="s">
        <v>88</v>
      </c>
      <c r="F16" s="30">
        <v>2865983.32</v>
      </c>
      <c r="G16" s="28" t="s">
        <v>48</v>
      </c>
      <c r="H16" s="28" t="s">
        <v>49</v>
      </c>
      <c r="I16" s="39">
        <v>7.5899999999999995E-2</v>
      </c>
      <c r="J16" s="31" t="s">
        <v>19</v>
      </c>
      <c r="K16" s="42">
        <v>45</v>
      </c>
      <c r="L16" s="35">
        <v>46010</v>
      </c>
      <c r="M16" s="35">
        <v>46159</v>
      </c>
      <c r="N16" s="35">
        <v>46219</v>
      </c>
      <c r="O16" s="31" t="s">
        <v>19</v>
      </c>
      <c r="P16" s="31" t="s">
        <v>19</v>
      </c>
      <c r="Q16" s="54" t="s">
        <v>89</v>
      </c>
      <c r="R16" s="32" t="s">
        <v>103</v>
      </c>
      <c r="S16" s="27" t="s">
        <v>24</v>
      </c>
    </row>
    <row r="17" spans="1:20" s="27" customFormat="1" ht="22.5" customHeight="1" x14ac:dyDescent="0.25">
      <c r="A17" s="28">
        <f t="shared" si="0"/>
        <v>14</v>
      </c>
      <c r="B17" s="28">
        <v>2131132</v>
      </c>
      <c r="C17" s="28">
        <v>264557</v>
      </c>
      <c r="D17" s="56" t="s">
        <v>93</v>
      </c>
      <c r="E17" s="29" t="s">
        <v>88</v>
      </c>
      <c r="F17" s="30">
        <v>38898328.410000004</v>
      </c>
      <c r="G17" s="28" t="s">
        <v>48</v>
      </c>
      <c r="H17" s="28" t="s">
        <v>49</v>
      </c>
      <c r="I17" s="39">
        <v>0.43669999999999998</v>
      </c>
      <c r="J17" s="31" t="s">
        <v>19</v>
      </c>
      <c r="K17" s="42">
        <v>1016</v>
      </c>
      <c r="L17" s="35">
        <v>45730</v>
      </c>
      <c r="M17" s="35">
        <v>46179</v>
      </c>
      <c r="N17" s="35">
        <v>46239</v>
      </c>
      <c r="O17" s="31" t="s">
        <v>19</v>
      </c>
      <c r="P17" s="31" t="s">
        <v>19</v>
      </c>
      <c r="Q17" s="54" t="s">
        <v>124</v>
      </c>
      <c r="R17" s="32" t="s">
        <v>104</v>
      </c>
      <c r="S17" s="27" t="s">
        <v>24</v>
      </c>
    </row>
    <row r="18" spans="1:20" s="27" customFormat="1" ht="22.5" customHeight="1" x14ac:dyDescent="0.25">
      <c r="A18" s="28">
        <f t="shared" si="0"/>
        <v>15</v>
      </c>
      <c r="B18" s="28">
        <v>2134829</v>
      </c>
      <c r="C18" s="28" t="s">
        <v>50</v>
      </c>
      <c r="D18" s="29" t="s">
        <v>132</v>
      </c>
      <c r="E18" s="29" t="s">
        <v>39</v>
      </c>
      <c r="F18" s="30">
        <v>30965235.68</v>
      </c>
      <c r="G18" s="28" t="s">
        <v>48</v>
      </c>
      <c r="H18" s="28" t="s">
        <v>49</v>
      </c>
      <c r="I18" s="39">
        <v>0.38179999999999997</v>
      </c>
      <c r="J18" s="31" t="s">
        <v>19</v>
      </c>
      <c r="K18" s="42">
        <v>80</v>
      </c>
      <c r="L18" s="35">
        <v>45734</v>
      </c>
      <c r="M18" s="35">
        <v>46213</v>
      </c>
      <c r="N18" s="35">
        <v>46273</v>
      </c>
      <c r="O18" s="34"/>
      <c r="P18" s="31" t="s">
        <v>19</v>
      </c>
      <c r="Q18" s="54" t="s">
        <v>117</v>
      </c>
      <c r="R18" s="32" t="s">
        <v>105</v>
      </c>
      <c r="S18" s="27" t="s">
        <v>24</v>
      </c>
    </row>
    <row r="19" spans="1:20" s="27" customFormat="1" ht="22.5" customHeight="1" x14ac:dyDescent="0.25">
      <c r="A19" s="28">
        <f t="shared" si="0"/>
        <v>16</v>
      </c>
      <c r="B19" s="28">
        <v>2188331</v>
      </c>
      <c r="C19" s="28">
        <v>199166</v>
      </c>
      <c r="D19" s="29" t="s">
        <v>133</v>
      </c>
      <c r="E19" s="29" t="s">
        <v>39</v>
      </c>
      <c r="F19" s="30">
        <v>6415466.9399999995</v>
      </c>
      <c r="G19" s="28" t="s">
        <v>48</v>
      </c>
      <c r="H19" s="28" t="s">
        <v>49</v>
      </c>
      <c r="I19" s="39">
        <v>0.87870000000000004</v>
      </c>
      <c r="J19" s="31" t="s">
        <v>19</v>
      </c>
      <c r="K19" s="42">
        <v>22</v>
      </c>
      <c r="L19" s="35">
        <v>45834</v>
      </c>
      <c r="M19" s="35">
        <v>46038</v>
      </c>
      <c r="N19" s="35">
        <v>46098</v>
      </c>
      <c r="O19" s="31" t="s">
        <v>19</v>
      </c>
      <c r="P19" s="31" t="s">
        <v>19</v>
      </c>
      <c r="Q19" s="54" t="s">
        <v>118</v>
      </c>
      <c r="R19" s="32" t="s">
        <v>106</v>
      </c>
      <c r="S19" s="79" t="s">
        <v>24</v>
      </c>
      <c r="T19" s="79"/>
    </row>
    <row r="20" spans="1:20" s="27" customFormat="1" ht="22.5" customHeight="1" x14ac:dyDescent="0.25">
      <c r="A20" s="28">
        <f t="shared" si="0"/>
        <v>17</v>
      </c>
      <c r="B20" s="28">
        <v>2201527</v>
      </c>
      <c r="C20" s="28">
        <v>526743</v>
      </c>
      <c r="D20" s="29" t="s">
        <v>134</v>
      </c>
      <c r="E20" s="29" t="s">
        <v>39</v>
      </c>
      <c r="F20" s="30">
        <v>6159118.7400000002</v>
      </c>
      <c r="G20" s="28" t="s">
        <v>48</v>
      </c>
      <c r="H20" s="28" t="s">
        <v>49</v>
      </c>
      <c r="I20" s="39">
        <v>0.84009999999999996</v>
      </c>
      <c r="J20" s="31" t="s">
        <v>19</v>
      </c>
      <c r="K20" s="42">
        <v>25</v>
      </c>
      <c r="L20" s="35">
        <v>45772</v>
      </c>
      <c r="M20" s="35">
        <v>46011</v>
      </c>
      <c r="N20" s="35">
        <v>46071</v>
      </c>
      <c r="O20" s="31" t="s">
        <v>19</v>
      </c>
      <c r="P20" s="31" t="s">
        <v>19</v>
      </c>
      <c r="Q20" s="54" t="s">
        <v>119</v>
      </c>
      <c r="R20" s="32" t="s">
        <v>107</v>
      </c>
      <c r="S20" s="79" t="s">
        <v>24</v>
      </c>
      <c r="T20" s="79"/>
    </row>
    <row r="21" spans="1:20" s="33" customFormat="1" ht="22.5" customHeight="1" x14ac:dyDescent="0.25">
      <c r="A21" s="28">
        <f t="shared" si="0"/>
        <v>18</v>
      </c>
      <c r="B21" s="28">
        <v>2234906</v>
      </c>
      <c r="C21" s="28">
        <v>329808</v>
      </c>
      <c r="D21" s="29" t="s">
        <v>94</v>
      </c>
      <c r="E21" s="29" t="s">
        <v>88</v>
      </c>
      <c r="F21" s="30">
        <v>10081483.560000001</v>
      </c>
      <c r="G21" s="28" t="s">
        <v>48</v>
      </c>
      <c r="H21" s="28" t="s">
        <v>49</v>
      </c>
      <c r="I21" s="39">
        <v>0.5353</v>
      </c>
      <c r="J21" s="31" t="s">
        <v>19</v>
      </c>
      <c r="K21" s="42">
        <v>953</v>
      </c>
      <c r="L21" s="35">
        <v>45671</v>
      </c>
      <c r="M21" s="35">
        <v>45910</v>
      </c>
      <c r="N21" s="35">
        <v>45970</v>
      </c>
      <c r="O21" s="34"/>
      <c r="P21" s="31" t="s">
        <v>19</v>
      </c>
      <c r="Q21" s="54" t="s">
        <v>125</v>
      </c>
      <c r="R21" s="32" t="s">
        <v>108</v>
      </c>
      <c r="S21" s="79" t="s">
        <v>24</v>
      </c>
      <c r="T21" s="79"/>
    </row>
    <row r="22" spans="1:20" s="33" customFormat="1" ht="22.5" customHeight="1" x14ac:dyDescent="0.25">
      <c r="A22" s="28">
        <f t="shared" si="0"/>
        <v>19</v>
      </c>
      <c r="B22" s="28">
        <v>2285648</v>
      </c>
      <c r="C22" s="28">
        <v>200061</v>
      </c>
      <c r="D22" s="29" t="s">
        <v>135</v>
      </c>
      <c r="E22" s="29" t="s">
        <v>39</v>
      </c>
      <c r="F22" s="30">
        <v>14098228.380000001</v>
      </c>
      <c r="G22" s="28" t="s">
        <v>48</v>
      </c>
      <c r="H22" s="28" t="s">
        <v>49</v>
      </c>
      <c r="I22" s="39">
        <v>0.73040000000000005</v>
      </c>
      <c r="J22" s="31" t="s">
        <v>19</v>
      </c>
      <c r="K22" s="42">
        <v>58</v>
      </c>
      <c r="L22" s="35">
        <v>45841</v>
      </c>
      <c r="M22" s="35">
        <v>46145</v>
      </c>
      <c r="N22" s="35">
        <v>46205</v>
      </c>
      <c r="O22" s="31" t="s">
        <v>19</v>
      </c>
      <c r="P22" s="31" t="s">
        <v>19</v>
      </c>
      <c r="Q22" s="54" t="s">
        <v>120</v>
      </c>
      <c r="R22" s="32" t="s">
        <v>109</v>
      </c>
      <c r="S22" s="79" t="s">
        <v>24</v>
      </c>
      <c r="T22" s="79"/>
    </row>
    <row r="23" spans="1:20" s="33" customFormat="1" ht="22.5" customHeight="1" x14ac:dyDescent="0.25">
      <c r="A23" s="28">
        <f t="shared" si="0"/>
        <v>20</v>
      </c>
      <c r="B23" s="28">
        <v>2289128</v>
      </c>
      <c r="C23" s="28">
        <v>199048</v>
      </c>
      <c r="D23" s="29" t="s">
        <v>136</v>
      </c>
      <c r="E23" s="29" t="s">
        <v>39</v>
      </c>
      <c r="F23" s="30">
        <v>9362553.0199999996</v>
      </c>
      <c r="G23" s="28" t="s">
        <v>48</v>
      </c>
      <c r="H23" s="28" t="s">
        <v>49</v>
      </c>
      <c r="I23" s="39">
        <v>0.83930000000000005</v>
      </c>
      <c r="J23" s="31" t="s">
        <v>19</v>
      </c>
      <c r="K23" s="42">
        <v>44</v>
      </c>
      <c r="L23" s="35">
        <v>45834</v>
      </c>
      <c r="M23" s="35">
        <v>46068</v>
      </c>
      <c r="N23" s="35">
        <v>46128</v>
      </c>
      <c r="O23" s="31" t="s">
        <v>19</v>
      </c>
      <c r="P23" s="31" t="s">
        <v>19</v>
      </c>
      <c r="Q23" s="54" t="s">
        <v>121</v>
      </c>
      <c r="R23" s="32" t="s">
        <v>110</v>
      </c>
      <c r="S23" s="79" t="s">
        <v>24</v>
      </c>
      <c r="T23" s="79"/>
    </row>
    <row r="24" spans="1:20" s="33" customFormat="1" ht="22.5" customHeight="1" x14ac:dyDescent="0.25">
      <c r="A24" s="28">
        <f t="shared" si="0"/>
        <v>21</v>
      </c>
      <c r="B24" s="28">
        <v>2330464</v>
      </c>
      <c r="C24" s="28" t="s">
        <v>52</v>
      </c>
      <c r="D24" s="29" t="s">
        <v>95</v>
      </c>
      <c r="E24" s="29" t="s">
        <v>88</v>
      </c>
      <c r="F24" s="30">
        <v>29496902.73</v>
      </c>
      <c r="G24" s="28" t="s">
        <v>48</v>
      </c>
      <c r="H24" s="28" t="s">
        <v>49</v>
      </c>
      <c r="I24" s="39">
        <v>0.87570000000000003</v>
      </c>
      <c r="J24" s="31" t="s">
        <v>19</v>
      </c>
      <c r="K24" s="42">
        <v>2168</v>
      </c>
      <c r="L24" s="35">
        <v>45019</v>
      </c>
      <c r="M24" s="35">
        <v>45438</v>
      </c>
      <c r="N24" s="35">
        <v>45498</v>
      </c>
      <c r="O24" s="31" t="s">
        <v>19</v>
      </c>
      <c r="P24" s="31" t="s">
        <v>19</v>
      </c>
      <c r="Q24" s="54" t="s">
        <v>127</v>
      </c>
      <c r="R24" s="32" t="s">
        <v>54</v>
      </c>
      <c r="S24" s="79" t="s">
        <v>24</v>
      </c>
      <c r="T24" s="79"/>
    </row>
    <row r="25" spans="1:20" s="33" customFormat="1" ht="22.5" customHeight="1" x14ac:dyDescent="0.25">
      <c r="A25" s="28">
        <f t="shared" si="0"/>
        <v>22</v>
      </c>
      <c r="B25" s="28">
        <v>2330464</v>
      </c>
      <c r="C25" s="28" t="s">
        <v>52</v>
      </c>
      <c r="D25" s="29" t="s">
        <v>95</v>
      </c>
      <c r="E25" s="29" t="s">
        <v>88</v>
      </c>
      <c r="F25" s="30">
        <v>88678366.010000005</v>
      </c>
      <c r="G25" s="28" t="s">
        <v>48</v>
      </c>
      <c r="H25" s="28" t="s">
        <v>49</v>
      </c>
      <c r="I25" s="39">
        <v>0.69840000000000002</v>
      </c>
      <c r="J25" s="31" t="s">
        <v>19</v>
      </c>
      <c r="K25" s="42">
        <v>2168</v>
      </c>
      <c r="L25" s="35">
        <v>45204</v>
      </c>
      <c r="M25" s="35">
        <v>45683</v>
      </c>
      <c r="N25" s="35">
        <v>45743</v>
      </c>
      <c r="O25" s="31" t="s">
        <v>19</v>
      </c>
      <c r="P25" s="31" t="s">
        <v>19</v>
      </c>
      <c r="Q25" s="54" t="s">
        <v>126</v>
      </c>
      <c r="R25" s="32" t="s">
        <v>53</v>
      </c>
      <c r="S25" s="79" t="s">
        <v>24</v>
      </c>
      <c r="T25" s="79"/>
    </row>
    <row r="26" spans="1:20" s="33" customFormat="1" ht="22.5" customHeight="1" x14ac:dyDescent="0.25">
      <c r="A26" s="28">
        <f t="shared" si="0"/>
        <v>23</v>
      </c>
      <c r="B26" s="28">
        <v>2439598</v>
      </c>
      <c r="C26" s="28">
        <v>305039</v>
      </c>
      <c r="D26" s="29"/>
      <c r="E26" s="28" t="s">
        <v>32</v>
      </c>
      <c r="F26" s="30">
        <v>1121166.8700000001</v>
      </c>
      <c r="G26" s="28" t="s">
        <v>48</v>
      </c>
      <c r="H26" s="28" t="s">
        <v>49</v>
      </c>
      <c r="I26" s="39">
        <v>0.25359999999999999</v>
      </c>
      <c r="J26" s="31" t="s">
        <v>19</v>
      </c>
      <c r="K26" s="42">
        <v>1786</v>
      </c>
      <c r="L26" s="35">
        <v>45997</v>
      </c>
      <c r="M26" s="35">
        <v>46116</v>
      </c>
      <c r="N26" s="35">
        <v>46176</v>
      </c>
      <c r="O26" s="31" t="s">
        <v>19</v>
      </c>
      <c r="P26" s="31" t="s">
        <v>19</v>
      </c>
      <c r="Q26" s="54" t="s">
        <v>131</v>
      </c>
      <c r="R26" s="32" t="s">
        <v>111</v>
      </c>
      <c r="S26" s="79" t="s">
        <v>24</v>
      </c>
      <c r="T26" s="79"/>
    </row>
    <row r="27" spans="1:20" s="33" customFormat="1" ht="22.5" customHeight="1" x14ac:dyDescent="0.25">
      <c r="A27" s="28">
        <f t="shared" si="0"/>
        <v>24</v>
      </c>
      <c r="B27" s="28">
        <v>2439605</v>
      </c>
      <c r="C27" s="28">
        <v>288327</v>
      </c>
      <c r="D27" s="29"/>
      <c r="E27" s="28" t="s">
        <v>32</v>
      </c>
      <c r="F27" s="30">
        <v>801618.17</v>
      </c>
      <c r="G27" s="28" t="s">
        <v>48</v>
      </c>
      <c r="H27" s="28" t="s">
        <v>49</v>
      </c>
      <c r="I27" s="39">
        <v>0</v>
      </c>
      <c r="J27" s="31" t="s">
        <v>19</v>
      </c>
      <c r="K27" s="42">
        <v>801</v>
      </c>
      <c r="L27" s="35">
        <v>45997</v>
      </c>
      <c r="M27" s="35">
        <v>46086</v>
      </c>
      <c r="N27" s="35">
        <v>46146</v>
      </c>
      <c r="O27" s="31" t="s">
        <v>19</v>
      </c>
      <c r="P27" s="31" t="s">
        <v>19</v>
      </c>
      <c r="Q27" s="54" t="s">
        <v>130</v>
      </c>
      <c r="R27" s="32" t="s">
        <v>112</v>
      </c>
      <c r="S27" s="79" t="s">
        <v>24</v>
      </c>
      <c r="T27" s="79"/>
    </row>
    <row r="28" spans="1:20" s="33" customFormat="1" ht="22.5" customHeight="1" x14ac:dyDescent="0.25">
      <c r="A28" s="28">
        <f t="shared" si="0"/>
        <v>25</v>
      </c>
      <c r="B28" s="28">
        <v>2439625</v>
      </c>
      <c r="C28" s="28">
        <v>324976</v>
      </c>
      <c r="D28" s="29"/>
      <c r="E28" s="28" t="s">
        <v>32</v>
      </c>
      <c r="F28" s="30">
        <v>963793.32000000007</v>
      </c>
      <c r="G28" s="28" t="s">
        <v>48</v>
      </c>
      <c r="H28" s="28" t="s">
        <v>49</v>
      </c>
      <c r="I28" s="39">
        <v>0.59150000000000003</v>
      </c>
      <c r="J28" s="31" t="s">
        <v>19</v>
      </c>
      <c r="K28" s="42">
        <v>972</v>
      </c>
      <c r="L28" s="35">
        <v>46008</v>
      </c>
      <c r="M28" s="35">
        <v>46127</v>
      </c>
      <c r="N28" s="35">
        <v>46187</v>
      </c>
      <c r="O28" s="31" t="s">
        <v>19</v>
      </c>
      <c r="P28" s="31" t="s">
        <v>19</v>
      </c>
      <c r="Q28" s="54" t="s">
        <v>90</v>
      </c>
      <c r="R28" s="32" t="s">
        <v>113</v>
      </c>
      <c r="S28" s="79" t="s">
        <v>24</v>
      </c>
      <c r="T28" s="79"/>
    </row>
    <row r="29" spans="1:20" s="33" customFormat="1" ht="22.5" customHeight="1" x14ac:dyDescent="0.25">
      <c r="A29" s="28">
        <f t="shared" si="0"/>
        <v>26</v>
      </c>
      <c r="B29" s="28">
        <v>2439635</v>
      </c>
      <c r="C29" s="28">
        <v>288539</v>
      </c>
      <c r="D29" s="29"/>
      <c r="E29" s="29" t="s">
        <v>32</v>
      </c>
      <c r="F29" s="30">
        <v>1759700.67</v>
      </c>
      <c r="G29" s="28" t="s">
        <v>48</v>
      </c>
      <c r="H29" s="28" t="s">
        <v>49</v>
      </c>
      <c r="I29" s="39">
        <v>0</v>
      </c>
      <c r="J29" s="31" t="s">
        <v>19</v>
      </c>
      <c r="K29" s="42">
        <v>1137</v>
      </c>
      <c r="L29" s="35">
        <v>46100</v>
      </c>
      <c r="M29" s="35">
        <v>46234</v>
      </c>
      <c r="N29" s="35">
        <v>46294</v>
      </c>
      <c r="O29" s="34"/>
      <c r="P29" s="31" t="s">
        <v>19</v>
      </c>
      <c r="Q29" s="54" t="s">
        <v>91</v>
      </c>
      <c r="R29" s="32" t="s">
        <v>114</v>
      </c>
      <c r="S29" s="79" t="s">
        <v>24</v>
      </c>
      <c r="T29" s="79"/>
    </row>
    <row r="30" spans="1:20" s="33" customFormat="1" ht="22.5" customHeight="1" x14ac:dyDescent="0.25">
      <c r="A30" s="28">
        <f t="shared" si="0"/>
        <v>27</v>
      </c>
      <c r="B30" s="28">
        <v>2473495</v>
      </c>
      <c r="C30" s="28" t="s">
        <v>47</v>
      </c>
      <c r="D30" s="29" t="s">
        <v>137</v>
      </c>
      <c r="E30" s="29" t="s">
        <v>39</v>
      </c>
      <c r="F30" s="30">
        <v>31104713.440000001</v>
      </c>
      <c r="G30" s="28" t="s">
        <v>48</v>
      </c>
      <c r="H30" s="28" t="s">
        <v>49</v>
      </c>
      <c r="I30" s="39">
        <v>0.61209999999999998</v>
      </c>
      <c r="J30" s="31" t="s">
        <v>19</v>
      </c>
      <c r="K30" s="42">
        <v>279</v>
      </c>
      <c r="L30" s="35">
        <v>45694</v>
      </c>
      <c r="M30" s="35">
        <v>46143</v>
      </c>
      <c r="N30" s="35">
        <v>46203</v>
      </c>
      <c r="O30" s="31" t="s">
        <v>19</v>
      </c>
      <c r="P30" s="31" t="s">
        <v>19</v>
      </c>
      <c r="Q30" s="54" t="s">
        <v>122</v>
      </c>
      <c r="R30" s="32" t="s">
        <v>115</v>
      </c>
      <c r="S30" s="79" t="s">
        <v>24</v>
      </c>
      <c r="T30" s="79"/>
    </row>
    <row r="31" spans="1:20" s="33" customFormat="1" ht="22.5" customHeight="1" x14ac:dyDescent="0.25">
      <c r="A31" s="28">
        <f t="shared" si="0"/>
        <v>28</v>
      </c>
      <c r="B31" s="28">
        <v>2509941</v>
      </c>
      <c r="C31" s="28">
        <v>295097</v>
      </c>
      <c r="D31" s="29"/>
      <c r="E31" s="28" t="s">
        <v>32</v>
      </c>
      <c r="F31" s="30">
        <v>916442.42999999993</v>
      </c>
      <c r="G31" s="28" t="s">
        <v>48</v>
      </c>
      <c r="H31" s="28" t="s">
        <v>49</v>
      </c>
      <c r="I31" s="39">
        <v>0.32690000000000002</v>
      </c>
      <c r="J31" s="31" t="s">
        <v>19</v>
      </c>
      <c r="K31" s="42">
        <v>1749</v>
      </c>
      <c r="L31" s="35">
        <v>46028</v>
      </c>
      <c r="M31" s="35">
        <v>46132</v>
      </c>
      <c r="N31" s="35">
        <v>46192</v>
      </c>
      <c r="O31" s="31" t="s">
        <v>19</v>
      </c>
      <c r="P31" s="31" t="s">
        <v>19</v>
      </c>
      <c r="Q31" s="54" t="s">
        <v>92</v>
      </c>
      <c r="R31" s="32" t="s">
        <v>116</v>
      </c>
      <c r="S31" s="79" t="s">
        <v>24</v>
      </c>
      <c r="T31" s="79"/>
    </row>
    <row r="32" spans="1:20" s="33" customFormat="1" ht="22.5" customHeight="1" x14ac:dyDescent="0.25">
      <c r="A32" s="45">
        <f t="shared" ref="A32:A36" si="1">+A31+1</f>
        <v>29</v>
      </c>
      <c r="B32" s="45">
        <v>2173670</v>
      </c>
      <c r="C32" s="45">
        <v>198992</v>
      </c>
      <c r="D32" s="46" t="s">
        <v>101</v>
      </c>
      <c r="E32" s="45" t="s">
        <v>39</v>
      </c>
      <c r="F32" s="47">
        <v>801618.17</v>
      </c>
      <c r="G32" s="45" t="s">
        <v>87</v>
      </c>
      <c r="H32" s="45" t="s">
        <v>85</v>
      </c>
      <c r="I32" s="48">
        <v>1</v>
      </c>
      <c r="J32" s="49">
        <v>0</v>
      </c>
      <c r="K32" s="50">
        <v>141</v>
      </c>
      <c r="L32" s="51">
        <v>45489</v>
      </c>
      <c r="M32" s="51">
        <v>46071</v>
      </c>
      <c r="N32" s="51">
        <v>46071</v>
      </c>
      <c r="O32" s="51">
        <v>46086</v>
      </c>
      <c r="P32" s="51">
        <v>46093</v>
      </c>
      <c r="Q32" s="58" t="s">
        <v>123</v>
      </c>
      <c r="R32" s="52" t="s">
        <v>51</v>
      </c>
      <c r="S32" s="79" t="s">
        <v>24</v>
      </c>
      <c r="T32" s="79"/>
    </row>
    <row r="33" spans="1:20" s="33" customFormat="1" ht="22.5" customHeight="1" x14ac:dyDescent="0.25">
      <c r="A33" s="21">
        <f t="shared" si="1"/>
        <v>30</v>
      </c>
      <c r="B33" s="21">
        <v>2131102</v>
      </c>
      <c r="C33" s="21">
        <v>127037</v>
      </c>
      <c r="D33" s="22" t="s">
        <v>99</v>
      </c>
      <c r="E33" s="21" t="s">
        <v>88</v>
      </c>
      <c r="F33" s="23">
        <v>40302240.210000001</v>
      </c>
      <c r="G33" s="21" t="s">
        <v>40</v>
      </c>
      <c r="H33" s="24" t="s">
        <v>85</v>
      </c>
      <c r="I33" s="38">
        <v>1</v>
      </c>
      <c r="J33" s="24">
        <v>1</v>
      </c>
      <c r="K33" s="41">
        <v>279</v>
      </c>
      <c r="L33" s="25">
        <v>45177</v>
      </c>
      <c r="M33" s="25">
        <v>45702</v>
      </c>
      <c r="N33" s="25">
        <v>45770</v>
      </c>
      <c r="O33" s="25">
        <v>45785</v>
      </c>
      <c r="P33" s="36">
        <v>45792</v>
      </c>
      <c r="Q33" s="26" t="s">
        <v>19</v>
      </c>
      <c r="R33" s="26" t="s">
        <v>42</v>
      </c>
      <c r="S33" s="79" t="s">
        <v>24</v>
      </c>
      <c r="T33" s="79"/>
    </row>
    <row r="34" spans="1:20" s="33" customFormat="1" ht="22.5" customHeight="1" x14ac:dyDescent="0.25">
      <c r="A34" s="21">
        <f t="shared" si="1"/>
        <v>31</v>
      </c>
      <c r="B34" s="21">
        <v>2131616</v>
      </c>
      <c r="C34" s="21" t="s">
        <v>43</v>
      </c>
      <c r="D34" s="22" t="s">
        <v>98</v>
      </c>
      <c r="E34" s="21" t="s">
        <v>88</v>
      </c>
      <c r="F34" s="23">
        <v>58920596.640000001</v>
      </c>
      <c r="G34" s="21" t="s">
        <v>40</v>
      </c>
      <c r="H34" s="24" t="s">
        <v>85</v>
      </c>
      <c r="I34" s="38">
        <v>1</v>
      </c>
      <c r="J34" s="24">
        <v>1</v>
      </c>
      <c r="K34" s="41">
        <v>833</v>
      </c>
      <c r="L34" s="25">
        <v>45098</v>
      </c>
      <c r="M34" s="25">
        <v>45755</v>
      </c>
      <c r="N34" s="25">
        <v>45841</v>
      </c>
      <c r="O34" s="25">
        <v>45856</v>
      </c>
      <c r="P34" s="36">
        <v>45863</v>
      </c>
      <c r="Q34" s="26" t="s">
        <v>19</v>
      </c>
      <c r="R34" s="26" t="s">
        <v>44</v>
      </c>
      <c r="S34" s="79" t="s">
        <v>24</v>
      </c>
      <c r="T34" s="79"/>
    </row>
    <row r="35" spans="1:20" s="33" customFormat="1" ht="22.5" customHeight="1" x14ac:dyDescent="0.25">
      <c r="A35" s="21">
        <f t="shared" si="1"/>
        <v>32</v>
      </c>
      <c r="B35" s="21">
        <v>2382929</v>
      </c>
      <c r="C35" s="21">
        <v>397048</v>
      </c>
      <c r="D35" s="22" t="s">
        <v>19</v>
      </c>
      <c r="E35" s="21" t="s">
        <v>39</v>
      </c>
      <c r="F35" s="23">
        <v>100500893.22</v>
      </c>
      <c r="G35" s="21" t="s">
        <v>40</v>
      </c>
      <c r="H35" s="24" t="s">
        <v>85</v>
      </c>
      <c r="I35" s="38">
        <v>1</v>
      </c>
      <c r="J35" s="24" t="s">
        <v>19</v>
      </c>
      <c r="K35" s="41">
        <v>2029</v>
      </c>
      <c r="L35" s="25">
        <v>44834</v>
      </c>
      <c r="M35" s="25">
        <v>45589</v>
      </c>
      <c r="N35" s="25">
        <v>45692</v>
      </c>
      <c r="O35" s="25">
        <v>45707</v>
      </c>
      <c r="P35" s="36">
        <v>45714</v>
      </c>
      <c r="Q35" s="26" t="s">
        <v>19</v>
      </c>
      <c r="R35" s="26" t="s">
        <v>41</v>
      </c>
      <c r="S35" s="79" t="s">
        <v>24</v>
      </c>
      <c r="T35" s="79"/>
    </row>
    <row r="36" spans="1:20" s="33" customFormat="1" ht="22.5" customHeight="1" x14ac:dyDescent="0.25">
      <c r="A36" s="21">
        <f t="shared" si="1"/>
        <v>33</v>
      </c>
      <c r="B36" s="21">
        <v>2439621</v>
      </c>
      <c r="C36" s="21">
        <v>306010</v>
      </c>
      <c r="D36" s="22" t="s">
        <v>97</v>
      </c>
      <c r="E36" s="21" t="s">
        <v>32</v>
      </c>
      <c r="F36" s="23">
        <v>2150036.7599999998</v>
      </c>
      <c r="G36" s="21" t="s">
        <v>40</v>
      </c>
      <c r="H36" s="24" t="s">
        <v>85</v>
      </c>
      <c r="I36" s="38">
        <v>1</v>
      </c>
      <c r="J36" s="24" t="s">
        <v>19</v>
      </c>
      <c r="K36" s="41">
        <v>718</v>
      </c>
      <c r="L36" s="25">
        <v>45461</v>
      </c>
      <c r="M36" s="25">
        <v>45762</v>
      </c>
      <c r="N36" s="25">
        <v>45940</v>
      </c>
      <c r="O36" s="25">
        <v>45955</v>
      </c>
      <c r="P36" s="36">
        <v>45962</v>
      </c>
      <c r="Q36" s="26" t="s">
        <v>19</v>
      </c>
      <c r="R36" s="26" t="s">
        <v>45</v>
      </c>
      <c r="S36" s="79" t="s">
        <v>24</v>
      </c>
      <c r="T36" s="79"/>
    </row>
    <row r="37" spans="1:20" s="53" customFormat="1" ht="22.5" customHeight="1" x14ac:dyDescent="0.25">
      <c r="A37" s="21">
        <f t="shared" ref="A37:A49" si="2">+A36+1</f>
        <v>34</v>
      </c>
      <c r="B37" s="21">
        <v>2510746</v>
      </c>
      <c r="C37" s="21">
        <v>338836</v>
      </c>
      <c r="D37" s="55" t="s">
        <v>102</v>
      </c>
      <c r="E37" s="21" t="s">
        <v>88</v>
      </c>
      <c r="F37" s="23">
        <v>239500</v>
      </c>
      <c r="G37" s="21" t="s">
        <v>40</v>
      </c>
      <c r="H37" s="24" t="s">
        <v>85</v>
      </c>
      <c r="I37" s="38">
        <v>1</v>
      </c>
      <c r="J37" s="24" t="s">
        <v>19</v>
      </c>
      <c r="K37" s="41">
        <v>812</v>
      </c>
      <c r="L37" s="25">
        <v>45972</v>
      </c>
      <c r="M37" s="25">
        <v>46006</v>
      </c>
      <c r="N37" s="25">
        <v>46021</v>
      </c>
      <c r="O37" s="25">
        <v>46036</v>
      </c>
      <c r="P37" s="36">
        <v>46043</v>
      </c>
      <c r="Q37" s="59" t="s">
        <v>129</v>
      </c>
      <c r="R37" s="26" t="s">
        <v>46</v>
      </c>
      <c r="S37" s="79" t="s">
        <v>24</v>
      </c>
      <c r="T37" s="79"/>
    </row>
    <row r="38" spans="1:20" s="53" customFormat="1" ht="22.5" customHeight="1" x14ac:dyDescent="0.25">
      <c r="A38" s="45">
        <f t="shared" si="2"/>
        <v>35</v>
      </c>
      <c r="B38" s="45">
        <v>2131619</v>
      </c>
      <c r="C38" s="45">
        <v>471496</v>
      </c>
      <c r="D38" s="57" t="s">
        <v>100</v>
      </c>
      <c r="E38" s="46" t="s">
        <v>88</v>
      </c>
      <c r="F38" s="47">
        <v>42850043.960000001</v>
      </c>
      <c r="G38" s="45" t="s">
        <v>86</v>
      </c>
      <c r="H38" s="45" t="s">
        <v>85</v>
      </c>
      <c r="I38" s="48">
        <v>1</v>
      </c>
      <c r="J38" s="49">
        <v>0</v>
      </c>
      <c r="K38" s="50">
        <v>1161</v>
      </c>
      <c r="L38" s="51">
        <v>45217</v>
      </c>
      <c r="M38" s="51">
        <v>45967</v>
      </c>
      <c r="N38" s="51">
        <v>46052</v>
      </c>
      <c r="O38" s="51">
        <v>46067</v>
      </c>
      <c r="P38" s="51">
        <v>46074</v>
      </c>
      <c r="Q38" s="58" t="s">
        <v>128</v>
      </c>
      <c r="R38" s="52" t="s">
        <v>57</v>
      </c>
      <c r="S38" s="79" t="s">
        <v>24</v>
      </c>
      <c r="T38" s="79"/>
    </row>
    <row r="39" spans="1:20" s="53" customFormat="1" ht="22.5" customHeight="1" x14ac:dyDescent="0.25">
      <c r="A39" s="45">
        <f t="shared" si="2"/>
        <v>36</v>
      </c>
      <c r="B39" s="45">
        <v>2234735</v>
      </c>
      <c r="C39" s="45" t="s">
        <v>55</v>
      </c>
      <c r="D39" s="46" t="s">
        <v>96</v>
      </c>
      <c r="E39" s="46" t="s">
        <v>88</v>
      </c>
      <c r="F39" s="47">
        <v>1790275.66</v>
      </c>
      <c r="G39" s="45" t="s">
        <v>86</v>
      </c>
      <c r="H39" s="45" t="s">
        <v>85</v>
      </c>
      <c r="I39" s="48">
        <v>1</v>
      </c>
      <c r="J39" s="49">
        <v>0</v>
      </c>
      <c r="K39" s="50">
        <v>430</v>
      </c>
      <c r="L39" s="51">
        <v>45482</v>
      </c>
      <c r="M39" s="51">
        <v>45919</v>
      </c>
      <c r="N39" s="51">
        <v>46027</v>
      </c>
      <c r="O39" s="51">
        <v>46042</v>
      </c>
      <c r="P39" s="51">
        <v>46049</v>
      </c>
      <c r="Q39" s="52" t="s">
        <v>19</v>
      </c>
      <c r="R39" s="52" t="s">
        <v>56</v>
      </c>
      <c r="S39" s="79" t="s">
        <v>24</v>
      </c>
      <c r="T39" s="79"/>
    </row>
    <row r="40" spans="1:20" s="68" customFormat="1" ht="22.5" customHeight="1" x14ac:dyDescent="0.25">
      <c r="A40" s="60">
        <f t="shared" si="2"/>
        <v>37</v>
      </c>
      <c r="B40" s="60">
        <v>2233960</v>
      </c>
      <c r="C40" s="60" t="s">
        <v>63</v>
      </c>
      <c r="D40" s="60" t="s">
        <v>64</v>
      </c>
      <c r="E40" s="60" t="s">
        <v>20</v>
      </c>
      <c r="F40" s="61">
        <v>0</v>
      </c>
      <c r="G40" s="62" t="s">
        <v>65</v>
      </c>
      <c r="H40" s="63" t="s">
        <v>19</v>
      </c>
      <c r="I40" s="64">
        <v>1</v>
      </c>
      <c r="J40" s="63" t="s">
        <v>19</v>
      </c>
      <c r="K40" s="65">
        <v>979</v>
      </c>
      <c r="L40" s="66" t="s">
        <v>19</v>
      </c>
      <c r="M40" s="66" t="s">
        <v>19</v>
      </c>
      <c r="N40" s="66" t="s">
        <v>19</v>
      </c>
      <c r="O40" s="63" t="s">
        <v>19</v>
      </c>
      <c r="P40" s="63" t="s">
        <v>19</v>
      </c>
      <c r="Q40" s="67" t="s">
        <v>66</v>
      </c>
      <c r="R40" s="62" t="s">
        <v>138</v>
      </c>
      <c r="S40" s="79" t="s">
        <v>24</v>
      </c>
      <c r="T40" s="79"/>
    </row>
    <row r="41" spans="1:20" s="68" customFormat="1" ht="22.5" customHeight="1" x14ac:dyDescent="0.25">
      <c r="A41" s="60">
        <f t="shared" si="2"/>
        <v>38</v>
      </c>
      <c r="B41" s="60">
        <v>2510746</v>
      </c>
      <c r="C41" s="60">
        <v>338836</v>
      </c>
      <c r="D41" s="69" t="s">
        <v>67</v>
      </c>
      <c r="E41" s="60" t="s">
        <v>20</v>
      </c>
      <c r="F41" s="61">
        <v>0</v>
      </c>
      <c r="G41" s="62" t="s">
        <v>65</v>
      </c>
      <c r="H41" s="63" t="s">
        <v>19</v>
      </c>
      <c r="I41" s="64">
        <v>1</v>
      </c>
      <c r="J41" s="63" t="s">
        <v>19</v>
      </c>
      <c r="K41" s="65">
        <v>944</v>
      </c>
      <c r="L41" s="66" t="s">
        <v>19</v>
      </c>
      <c r="M41" s="66" t="s">
        <v>19</v>
      </c>
      <c r="N41" s="66" t="s">
        <v>19</v>
      </c>
      <c r="O41" s="63" t="s">
        <v>19</v>
      </c>
      <c r="P41" s="63" t="s">
        <v>19</v>
      </c>
      <c r="Q41" s="67" t="s">
        <v>68</v>
      </c>
      <c r="R41" s="62" t="s">
        <v>139</v>
      </c>
      <c r="S41" s="79" t="s">
        <v>24</v>
      </c>
      <c r="T41" s="79"/>
    </row>
    <row r="42" spans="1:20" s="68" customFormat="1" ht="22.5" customHeight="1" x14ac:dyDescent="0.25">
      <c r="A42" s="60">
        <f t="shared" si="2"/>
        <v>39</v>
      </c>
      <c r="B42" s="60">
        <v>2234729</v>
      </c>
      <c r="C42" s="60">
        <v>324542</v>
      </c>
      <c r="D42" s="69" t="s">
        <v>69</v>
      </c>
      <c r="E42" s="60" t="s">
        <v>20</v>
      </c>
      <c r="F42" s="61">
        <v>0</v>
      </c>
      <c r="G42" s="62" t="s">
        <v>65</v>
      </c>
      <c r="H42" s="63" t="s">
        <v>19</v>
      </c>
      <c r="I42" s="64">
        <v>0.3</v>
      </c>
      <c r="J42" s="63" t="s">
        <v>19</v>
      </c>
      <c r="K42" s="65">
        <v>2082</v>
      </c>
      <c r="L42" s="66" t="s">
        <v>19</v>
      </c>
      <c r="M42" s="66" t="s">
        <v>19</v>
      </c>
      <c r="N42" s="66" t="s">
        <v>19</v>
      </c>
      <c r="O42" s="63" t="s">
        <v>19</v>
      </c>
      <c r="P42" s="63" t="s">
        <v>19</v>
      </c>
      <c r="Q42" s="67" t="s">
        <v>70</v>
      </c>
      <c r="R42" s="62" t="s">
        <v>140</v>
      </c>
      <c r="S42" s="79" t="s">
        <v>24</v>
      </c>
      <c r="T42" s="79"/>
    </row>
    <row r="43" spans="1:20" s="68" customFormat="1" ht="22.5" customHeight="1" x14ac:dyDescent="0.25">
      <c r="A43" s="60">
        <f t="shared" si="2"/>
        <v>40</v>
      </c>
      <c r="B43" s="60">
        <v>2194840</v>
      </c>
      <c r="C43" s="60">
        <v>639523</v>
      </c>
      <c r="D43" s="60">
        <v>752428</v>
      </c>
      <c r="E43" s="60" t="s">
        <v>20</v>
      </c>
      <c r="F43" s="61">
        <v>0</v>
      </c>
      <c r="G43" s="62" t="s">
        <v>65</v>
      </c>
      <c r="H43" s="63" t="s">
        <v>19</v>
      </c>
      <c r="I43" s="64">
        <v>0.3</v>
      </c>
      <c r="J43" s="63" t="s">
        <v>19</v>
      </c>
      <c r="K43" s="65">
        <v>80</v>
      </c>
      <c r="L43" s="66" t="s">
        <v>19</v>
      </c>
      <c r="M43" s="66" t="s">
        <v>19</v>
      </c>
      <c r="N43" s="66" t="s">
        <v>19</v>
      </c>
      <c r="O43" s="63" t="s">
        <v>19</v>
      </c>
      <c r="P43" s="63" t="s">
        <v>19</v>
      </c>
      <c r="Q43" s="67" t="s">
        <v>70</v>
      </c>
      <c r="R43" s="62" t="s">
        <v>141</v>
      </c>
      <c r="S43" s="79" t="s">
        <v>24</v>
      </c>
      <c r="T43" s="79"/>
    </row>
    <row r="44" spans="1:20" s="68" customFormat="1" ht="22.5" customHeight="1" x14ac:dyDescent="0.25">
      <c r="A44" s="60">
        <f t="shared" si="2"/>
        <v>41</v>
      </c>
      <c r="B44" s="60">
        <v>2242674</v>
      </c>
      <c r="C44" s="60" t="s">
        <v>71</v>
      </c>
      <c r="D44" s="69" t="s">
        <v>72</v>
      </c>
      <c r="E44" s="60" t="s">
        <v>20</v>
      </c>
      <c r="F44" s="61">
        <v>0</v>
      </c>
      <c r="G44" s="62" t="s">
        <v>65</v>
      </c>
      <c r="H44" s="63" t="s">
        <v>19</v>
      </c>
      <c r="I44" s="64">
        <v>0.5</v>
      </c>
      <c r="J44" s="63" t="s">
        <v>19</v>
      </c>
      <c r="K44" s="65">
        <v>1811</v>
      </c>
      <c r="L44" s="66" t="s">
        <v>19</v>
      </c>
      <c r="M44" s="66" t="s">
        <v>19</v>
      </c>
      <c r="N44" s="66" t="s">
        <v>19</v>
      </c>
      <c r="O44" s="63" t="s">
        <v>19</v>
      </c>
      <c r="P44" s="63" t="s">
        <v>19</v>
      </c>
      <c r="Q44" s="67" t="s">
        <v>73</v>
      </c>
      <c r="R44" s="62" t="s">
        <v>142</v>
      </c>
      <c r="S44" s="79" t="s">
        <v>24</v>
      </c>
      <c r="T44" s="79"/>
    </row>
    <row r="45" spans="1:20" s="68" customFormat="1" ht="22.5" customHeight="1" x14ac:dyDescent="0.25">
      <c r="A45" s="60">
        <f t="shared" si="2"/>
        <v>42</v>
      </c>
      <c r="B45" s="60">
        <v>2681269</v>
      </c>
      <c r="C45" s="60" t="s">
        <v>74</v>
      </c>
      <c r="D45" s="69" t="s">
        <v>75</v>
      </c>
      <c r="E45" s="60" t="s">
        <v>20</v>
      </c>
      <c r="F45" s="61">
        <v>0</v>
      </c>
      <c r="G45" s="62" t="s">
        <v>65</v>
      </c>
      <c r="H45" s="63" t="s">
        <v>19</v>
      </c>
      <c r="I45" s="64">
        <v>0</v>
      </c>
      <c r="J45" s="63" t="s">
        <v>19</v>
      </c>
      <c r="K45" s="65">
        <v>831</v>
      </c>
      <c r="L45" s="66" t="s">
        <v>19</v>
      </c>
      <c r="M45" s="66" t="s">
        <v>19</v>
      </c>
      <c r="N45" s="66" t="s">
        <v>19</v>
      </c>
      <c r="O45" s="63" t="s">
        <v>19</v>
      </c>
      <c r="P45" s="63" t="s">
        <v>19</v>
      </c>
      <c r="Q45" s="67" t="s">
        <v>76</v>
      </c>
      <c r="R45" s="62" t="s">
        <v>143</v>
      </c>
      <c r="S45" s="79" t="s">
        <v>24</v>
      </c>
      <c r="T45" s="79"/>
    </row>
    <row r="46" spans="1:20" s="68" customFormat="1" ht="22.5" customHeight="1" x14ac:dyDescent="0.25">
      <c r="A46" s="60">
        <f t="shared" si="2"/>
        <v>43</v>
      </c>
      <c r="B46" s="60">
        <v>2503935</v>
      </c>
      <c r="C46" s="60" t="s">
        <v>77</v>
      </c>
      <c r="D46" s="60">
        <v>1599109</v>
      </c>
      <c r="E46" s="60" t="s">
        <v>20</v>
      </c>
      <c r="F46" s="61">
        <v>0</v>
      </c>
      <c r="G46" s="62" t="s">
        <v>65</v>
      </c>
      <c r="H46" s="63" t="s">
        <v>19</v>
      </c>
      <c r="I46" s="64">
        <v>0</v>
      </c>
      <c r="J46" s="63" t="s">
        <v>19</v>
      </c>
      <c r="K46" s="65">
        <v>321</v>
      </c>
      <c r="L46" s="66" t="s">
        <v>19</v>
      </c>
      <c r="M46" s="66" t="s">
        <v>19</v>
      </c>
      <c r="N46" s="66" t="s">
        <v>19</v>
      </c>
      <c r="O46" s="63" t="s">
        <v>19</v>
      </c>
      <c r="P46" s="63" t="s">
        <v>19</v>
      </c>
      <c r="Q46" s="67" t="s">
        <v>76</v>
      </c>
      <c r="R46" s="62" t="s">
        <v>144</v>
      </c>
      <c r="S46" s="79" t="s">
        <v>24</v>
      </c>
      <c r="T46" s="79"/>
    </row>
    <row r="47" spans="1:20" s="68" customFormat="1" ht="22.5" customHeight="1" x14ac:dyDescent="0.25">
      <c r="A47" s="60">
        <f t="shared" si="2"/>
        <v>44</v>
      </c>
      <c r="B47" s="60">
        <v>2131606</v>
      </c>
      <c r="C47" s="60">
        <v>435465</v>
      </c>
      <c r="D47" s="69" t="s">
        <v>78</v>
      </c>
      <c r="E47" s="60" t="s">
        <v>20</v>
      </c>
      <c r="F47" s="61">
        <v>0</v>
      </c>
      <c r="G47" s="62" t="s">
        <v>65</v>
      </c>
      <c r="H47" s="63" t="s">
        <v>19</v>
      </c>
      <c r="I47" s="64">
        <v>0.15</v>
      </c>
      <c r="J47" s="63" t="s">
        <v>19</v>
      </c>
      <c r="K47" s="65">
        <v>1474</v>
      </c>
      <c r="L47" s="66" t="s">
        <v>19</v>
      </c>
      <c r="M47" s="66" t="s">
        <v>19</v>
      </c>
      <c r="N47" s="66" t="s">
        <v>19</v>
      </c>
      <c r="O47" s="63" t="s">
        <v>19</v>
      </c>
      <c r="P47" s="63" t="s">
        <v>19</v>
      </c>
      <c r="Q47" s="67" t="s">
        <v>79</v>
      </c>
      <c r="R47" s="62" t="s">
        <v>145</v>
      </c>
      <c r="S47" s="79" t="s">
        <v>24</v>
      </c>
      <c r="T47" s="79"/>
    </row>
    <row r="48" spans="1:20" s="68" customFormat="1" ht="22.5" customHeight="1" x14ac:dyDescent="0.25">
      <c r="A48" s="60">
        <f t="shared" si="2"/>
        <v>45</v>
      </c>
      <c r="B48" s="60">
        <v>2089917</v>
      </c>
      <c r="C48" s="60">
        <v>657201</v>
      </c>
      <c r="D48" s="69" t="s">
        <v>80</v>
      </c>
      <c r="E48" s="60" t="s">
        <v>20</v>
      </c>
      <c r="F48" s="61">
        <v>0</v>
      </c>
      <c r="G48" s="62" t="s">
        <v>65</v>
      </c>
      <c r="H48" s="63" t="s">
        <v>19</v>
      </c>
      <c r="I48" s="64">
        <v>0.05</v>
      </c>
      <c r="J48" s="63" t="s">
        <v>19</v>
      </c>
      <c r="K48" s="65">
        <v>2096</v>
      </c>
      <c r="L48" s="66" t="s">
        <v>19</v>
      </c>
      <c r="M48" s="66" t="s">
        <v>19</v>
      </c>
      <c r="N48" s="66" t="s">
        <v>19</v>
      </c>
      <c r="O48" s="63" t="s">
        <v>19</v>
      </c>
      <c r="P48" s="63" t="s">
        <v>19</v>
      </c>
      <c r="Q48" s="67" t="s">
        <v>81</v>
      </c>
      <c r="R48" s="62" t="s">
        <v>146</v>
      </c>
      <c r="S48" s="79" t="s">
        <v>24</v>
      </c>
      <c r="T48" s="79"/>
    </row>
    <row r="49" spans="1:20" s="68" customFormat="1" ht="22.5" customHeight="1" x14ac:dyDescent="0.25">
      <c r="A49" s="60">
        <f t="shared" si="2"/>
        <v>46</v>
      </c>
      <c r="B49" s="60">
        <v>2131101</v>
      </c>
      <c r="C49" s="60" t="s">
        <v>82</v>
      </c>
      <c r="D49" s="69" t="s">
        <v>83</v>
      </c>
      <c r="E49" s="60" t="s">
        <v>20</v>
      </c>
      <c r="F49" s="61">
        <v>0</v>
      </c>
      <c r="G49" s="62" t="s">
        <v>65</v>
      </c>
      <c r="H49" s="63" t="s">
        <v>19</v>
      </c>
      <c r="I49" s="64">
        <v>0</v>
      </c>
      <c r="J49" s="63" t="s">
        <v>19</v>
      </c>
      <c r="K49" s="65">
        <v>1471</v>
      </c>
      <c r="L49" s="66" t="s">
        <v>19</v>
      </c>
      <c r="M49" s="66" t="s">
        <v>19</v>
      </c>
      <c r="N49" s="66" t="s">
        <v>19</v>
      </c>
      <c r="O49" s="63" t="s">
        <v>19</v>
      </c>
      <c r="P49" s="63" t="s">
        <v>19</v>
      </c>
      <c r="Q49" s="67" t="s">
        <v>84</v>
      </c>
      <c r="R49" s="62" t="s">
        <v>147</v>
      </c>
      <c r="S49" s="79" t="s">
        <v>24</v>
      </c>
      <c r="T49" s="79"/>
    </row>
    <row r="50" spans="1:20" s="78" customFormat="1" ht="22.5" customHeight="1" x14ac:dyDescent="0.25">
      <c r="A50" s="70">
        <f t="shared" ref="A50:A60" si="3">+A49+1</f>
        <v>47</v>
      </c>
      <c r="B50" s="70">
        <v>2113958</v>
      </c>
      <c r="C50" s="70">
        <v>235145</v>
      </c>
      <c r="D50" s="71" t="s">
        <v>148</v>
      </c>
      <c r="E50" s="70" t="s">
        <v>20</v>
      </c>
      <c r="F50" s="72">
        <v>697449.97</v>
      </c>
      <c r="G50" s="70" t="s">
        <v>60</v>
      </c>
      <c r="H50" s="73" t="s">
        <v>61</v>
      </c>
      <c r="I50" s="74">
        <v>1</v>
      </c>
      <c r="J50" s="75" t="s">
        <v>19</v>
      </c>
      <c r="K50" s="76">
        <v>1899</v>
      </c>
      <c r="L50" s="77" t="s">
        <v>19</v>
      </c>
      <c r="M50" s="77" t="s">
        <v>19</v>
      </c>
      <c r="N50" s="77" t="s">
        <v>19</v>
      </c>
      <c r="O50" s="75" t="s">
        <v>19</v>
      </c>
      <c r="P50" s="75" t="s">
        <v>19</v>
      </c>
      <c r="Q50" s="73" t="s">
        <v>159</v>
      </c>
      <c r="R50" s="70" t="s">
        <v>170</v>
      </c>
      <c r="S50" s="79"/>
      <c r="T50" s="79"/>
    </row>
    <row r="51" spans="1:20" s="78" customFormat="1" ht="22.5" customHeight="1" x14ac:dyDescent="0.25">
      <c r="A51" s="70">
        <f t="shared" si="3"/>
        <v>48</v>
      </c>
      <c r="B51" s="70">
        <v>2113989</v>
      </c>
      <c r="C51" s="70" t="s">
        <v>58</v>
      </c>
      <c r="D51" s="71" t="s">
        <v>149</v>
      </c>
      <c r="E51" s="70" t="s">
        <v>20</v>
      </c>
      <c r="F51" s="72">
        <v>2658173.52</v>
      </c>
      <c r="G51" s="70" t="s">
        <v>60</v>
      </c>
      <c r="H51" s="73" t="s">
        <v>61</v>
      </c>
      <c r="I51" s="74">
        <v>1</v>
      </c>
      <c r="J51" s="75" t="s">
        <v>19</v>
      </c>
      <c r="K51" s="76">
        <v>210</v>
      </c>
      <c r="L51" s="77" t="s">
        <v>19</v>
      </c>
      <c r="M51" s="77" t="s">
        <v>19</v>
      </c>
      <c r="N51" s="77" t="s">
        <v>19</v>
      </c>
      <c r="O51" s="75" t="s">
        <v>19</v>
      </c>
      <c r="P51" s="75" t="s">
        <v>19</v>
      </c>
      <c r="Q51" s="73" t="s">
        <v>160</v>
      </c>
      <c r="R51" s="70" t="s">
        <v>171</v>
      </c>
      <c r="S51" s="79"/>
      <c r="T51" s="79"/>
    </row>
    <row r="52" spans="1:20" s="78" customFormat="1" ht="22.5" customHeight="1" x14ac:dyDescent="0.25">
      <c r="A52" s="70">
        <f t="shared" si="3"/>
        <v>49</v>
      </c>
      <c r="B52" s="70">
        <v>2116832</v>
      </c>
      <c r="C52" s="70" t="s">
        <v>59</v>
      </c>
      <c r="D52" s="71" t="s">
        <v>150</v>
      </c>
      <c r="E52" s="70" t="s">
        <v>20</v>
      </c>
      <c r="F52" s="72">
        <v>4920011.5999999996</v>
      </c>
      <c r="G52" s="70" t="s">
        <v>60</v>
      </c>
      <c r="H52" s="73" t="s">
        <v>61</v>
      </c>
      <c r="I52" s="74">
        <v>1</v>
      </c>
      <c r="J52" s="75" t="s">
        <v>19</v>
      </c>
      <c r="K52" s="76">
        <v>2033</v>
      </c>
      <c r="L52" s="77" t="s">
        <v>19</v>
      </c>
      <c r="M52" s="77" t="s">
        <v>19</v>
      </c>
      <c r="N52" s="77" t="s">
        <v>19</v>
      </c>
      <c r="O52" s="75" t="s">
        <v>19</v>
      </c>
      <c r="P52" s="75" t="s">
        <v>19</v>
      </c>
      <c r="Q52" s="73" t="s">
        <v>161</v>
      </c>
      <c r="R52" s="73" t="s">
        <v>172</v>
      </c>
      <c r="S52" s="79" t="s">
        <v>24</v>
      </c>
      <c r="T52" s="79"/>
    </row>
    <row r="53" spans="1:20" s="78" customFormat="1" ht="22.5" customHeight="1" x14ac:dyDescent="0.25">
      <c r="A53" s="70">
        <f t="shared" si="3"/>
        <v>50</v>
      </c>
      <c r="B53" s="70">
        <v>2234863</v>
      </c>
      <c r="C53" s="70">
        <v>305765</v>
      </c>
      <c r="D53" s="71" t="s">
        <v>151</v>
      </c>
      <c r="E53" s="70" t="s">
        <v>20</v>
      </c>
      <c r="F53" s="72">
        <v>18456548.420000002</v>
      </c>
      <c r="G53" s="70" t="s">
        <v>60</v>
      </c>
      <c r="H53" s="73" t="s">
        <v>61</v>
      </c>
      <c r="I53" s="74">
        <v>1</v>
      </c>
      <c r="J53" s="75" t="s">
        <v>19</v>
      </c>
      <c r="K53" s="76">
        <v>1696</v>
      </c>
      <c r="L53" s="77" t="s">
        <v>19</v>
      </c>
      <c r="M53" s="77" t="s">
        <v>19</v>
      </c>
      <c r="N53" s="77" t="s">
        <v>19</v>
      </c>
      <c r="O53" s="75" t="s">
        <v>19</v>
      </c>
      <c r="P53" s="75" t="s">
        <v>19</v>
      </c>
      <c r="Q53" s="73" t="s">
        <v>162</v>
      </c>
      <c r="R53" s="70" t="s">
        <v>173</v>
      </c>
      <c r="S53" s="79"/>
      <c r="T53" s="79"/>
    </row>
    <row r="54" spans="1:20" s="78" customFormat="1" ht="22.5" customHeight="1" x14ac:dyDescent="0.25">
      <c r="A54" s="70">
        <f t="shared" si="3"/>
        <v>51</v>
      </c>
      <c r="B54" s="70">
        <v>2313708</v>
      </c>
      <c r="C54" s="70">
        <v>139648</v>
      </c>
      <c r="D54" s="71" t="s">
        <v>152</v>
      </c>
      <c r="E54" s="70" t="s">
        <v>20</v>
      </c>
      <c r="F54" s="72">
        <v>14398149.07</v>
      </c>
      <c r="G54" s="70" t="s">
        <v>60</v>
      </c>
      <c r="H54" s="73" t="s">
        <v>61</v>
      </c>
      <c r="I54" s="74">
        <v>1</v>
      </c>
      <c r="J54" s="75" t="s">
        <v>19</v>
      </c>
      <c r="K54" s="76">
        <v>566</v>
      </c>
      <c r="L54" s="77" t="s">
        <v>19</v>
      </c>
      <c r="M54" s="77" t="s">
        <v>19</v>
      </c>
      <c r="N54" s="77" t="s">
        <v>19</v>
      </c>
      <c r="O54" s="75" t="s">
        <v>19</v>
      </c>
      <c r="P54" s="75" t="s">
        <v>19</v>
      </c>
      <c r="Q54" s="73" t="s">
        <v>163</v>
      </c>
      <c r="R54" s="70" t="s">
        <v>174</v>
      </c>
      <c r="S54" s="79"/>
      <c r="T54" s="79"/>
    </row>
    <row r="55" spans="1:20" s="78" customFormat="1" ht="22.5" customHeight="1" x14ac:dyDescent="0.25">
      <c r="A55" s="70">
        <f t="shared" si="3"/>
        <v>52</v>
      </c>
      <c r="B55" s="70">
        <v>2321743</v>
      </c>
      <c r="C55" s="70">
        <v>305893</v>
      </c>
      <c r="D55" s="71" t="s">
        <v>153</v>
      </c>
      <c r="E55" s="70" t="s">
        <v>20</v>
      </c>
      <c r="F55" s="72">
        <v>39987510.810000002</v>
      </c>
      <c r="G55" s="70" t="s">
        <v>60</v>
      </c>
      <c r="H55" s="73" t="s">
        <v>61</v>
      </c>
      <c r="I55" s="74">
        <v>1</v>
      </c>
      <c r="J55" s="75" t="s">
        <v>19</v>
      </c>
      <c r="K55" s="76">
        <v>7187</v>
      </c>
      <c r="L55" s="77" t="s">
        <v>19</v>
      </c>
      <c r="M55" s="77" t="s">
        <v>19</v>
      </c>
      <c r="N55" s="77" t="s">
        <v>19</v>
      </c>
      <c r="O55" s="75" t="s">
        <v>19</v>
      </c>
      <c r="P55" s="75" t="s">
        <v>19</v>
      </c>
      <c r="Q55" s="73" t="s">
        <v>164</v>
      </c>
      <c r="R55" s="70" t="s">
        <v>62</v>
      </c>
      <c r="S55" s="79"/>
      <c r="T55" s="79"/>
    </row>
    <row r="56" spans="1:20" s="78" customFormat="1" ht="22.5" customHeight="1" x14ac:dyDescent="0.25">
      <c r="A56" s="70">
        <f t="shared" si="3"/>
        <v>53</v>
      </c>
      <c r="B56" s="70">
        <v>2439598</v>
      </c>
      <c r="C56" s="70">
        <v>305039</v>
      </c>
      <c r="D56" s="71" t="s">
        <v>154</v>
      </c>
      <c r="E56" s="70" t="s">
        <v>32</v>
      </c>
      <c r="F56" s="72">
        <v>962118.68</v>
      </c>
      <c r="G56" s="70" t="s">
        <v>60</v>
      </c>
      <c r="H56" s="73" t="s">
        <v>61</v>
      </c>
      <c r="I56" s="74">
        <v>1</v>
      </c>
      <c r="J56" s="75" t="s">
        <v>19</v>
      </c>
      <c r="K56" s="76">
        <v>2131</v>
      </c>
      <c r="L56" s="77" t="s">
        <v>19</v>
      </c>
      <c r="M56" s="77" t="s">
        <v>19</v>
      </c>
      <c r="N56" s="77" t="s">
        <v>19</v>
      </c>
      <c r="O56" s="75" t="s">
        <v>19</v>
      </c>
      <c r="P56" s="75" t="s">
        <v>19</v>
      </c>
      <c r="Q56" s="73" t="s">
        <v>165</v>
      </c>
      <c r="R56" s="70" t="s">
        <v>175</v>
      </c>
      <c r="S56" s="79"/>
      <c r="T56" s="79"/>
    </row>
    <row r="57" spans="1:20" s="78" customFormat="1" ht="22.5" customHeight="1" x14ac:dyDescent="0.25">
      <c r="A57" s="70">
        <f t="shared" si="3"/>
        <v>54</v>
      </c>
      <c r="B57" s="70">
        <v>2439605</v>
      </c>
      <c r="C57" s="70">
        <v>288327</v>
      </c>
      <c r="D57" s="71" t="s">
        <v>155</v>
      </c>
      <c r="E57" s="70" t="s">
        <v>32</v>
      </c>
      <c r="F57" s="72">
        <v>843808.61</v>
      </c>
      <c r="G57" s="70" t="s">
        <v>60</v>
      </c>
      <c r="H57" s="73" t="s">
        <v>61</v>
      </c>
      <c r="I57" s="74">
        <v>1</v>
      </c>
      <c r="J57" s="75" t="s">
        <v>19</v>
      </c>
      <c r="K57" s="76">
        <v>803</v>
      </c>
      <c r="L57" s="77" t="s">
        <v>19</v>
      </c>
      <c r="M57" s="77" t="s">
        <v>19</v>
      </c>
      <c r="N57" s="77" t="s">
        <v>19</v>
      </c>
      <c r="O57" s="75" t="s">
        <v>19</v>
      </c>
      <c r="P57" s="75" t="s">
        <v>19</v>
      </c>
      <c r="Q57" s="73" t="s">
        <v>166</v>
      </c>
      <c r="R57" s="70" t="s">
        <v>176</v>
      </c>
      <c r="S57" s="79"/>
      <c r="T57" s="79"/>
    </row>
    <row r="58" spans="1:20" s="78" customFormat="1" ht="22.5" customHeight="1" x14ac:dyDescent="0.25">
      <c r="A58" s="70">
        <f t="shared" si="3"/>
        <v>55</v>
      </c>
      <c r="B58" s="70">
        <v>2439625</v>
      </c>
      <c r="C58" s="70">
        <v>324976</v>
      </c>
      <c r="D58" s="71" t="s">
        <v>156</v>
      </c>
      <c r="E58" s="70" t="s">
        <v>32</v>
      </c>
      <c r="F58" s="72">
        <v>881084.76</v>
      </c>
      <c r="G58" s="70" t="s">
        <v>60</v>
      </c>
      <c r="H58" s="73" t="s">
        <v>61</v>
      </c>
      <c r="I58" s="74">
        <v>1</v>
      </c>
      <c r="J58" s="75" t="s">
        <v>19</v>
      </c>
      <c r="K58" s="76">
        <v>817</v>
      </c>
      <c r="L58" s="77" t="s">
        <v>19</v>
      </c>
      <c r="M58" s="77" t="s">
        <v>19</v>
      </c>
      <c r="N58" s="77" t="s">
        <v>19</v>
      </c>
      <c r="O58" s="75" t="s">
        <v>19</v>
      </c>
      <c r="P58" s="75" t="s">
        <v>19</v>
      </c>
      <c r="Q58" s="73" t="s">
        <v>167</v>
      </c>
      <c r="R58" s="70" t="s">
        <v>177</v>
      </c>
      <c r="S58" s="79"/>
      <c r="T58" s="79"/>
    </row>
    <row r="59" spans="1:20" s="78" customFormat="1" ht="22.5" customHeight="1" x14ac:dyDescent="0.25">
      <c r="A59" s="70">
        <f t="shared" si="3"/>
        <v>56</v>
      </c>
      <c r="B59" s="70">
        <v>2439635</v>
      </c>
      <c r="C59" s="70">
        <v>288539</v>
      </c>
      <c r="D59" s="71" t="s">
        <v>157</v>
      </c>
      <c r="E59" s="70" t="s">
        <v>32</v>
      </c>
      <c r="F59" s="72">
        <v>1694179.1</v>
      </c>
      <c r="G59" s="70" t="s">
        <v>60</v>
      </c>
      <c r="H59" s="73" t="s">
        <v>61</v>
      </c>
      <c r="I59" s="74">
        <v>1</v>
      </c>
      <c r="J59" s="75" t="s">
        <v>19</v>
      </c>
      <c r="K59" s="76">
        <v>1217</v>
      </c>
      <c r="L59" s="77" t="s">
        <v>19</v>
      </c>
      <c r="M59" s="77" t="s">
        <v>19</v>
      </c>
      <c r="N59" s="77" t="s">
        <v>19</v>
      </c>
      <c r="O59" s="75" t="s">
        <v>19</v>
      </c>
      <c r="P59" s="75" t="s">
        <v>19</v>
      </c>
      <c r="Q59" s="73" t="s">
        <v>168</v>
      </c>
      <c r="R59" s="73" t="s">
        <v>178</v>
      </c>
      <c r="S59" s="79" t="s">
        <v>24</v>
      </c>
      <c r="T59" s="79"/>
    </row>
    <row r="60" spans="1:20" s="78" customFormat="1" ht="22.5" customHeight="1" x14ac:dyDescent="0.25">
      <c r="A60" s="70">
        <f t="shared" si="3"/>
        <v>57</v>
      </c>
      <c r="B60" s="70">
        <v>2664597</v>
      </c>
      <c r="C60" s="70">
        <v>342824</v>
      </c>
      <c r="D60" s="71" t="s">
        <v>158</v>
      </c>
      <c r="E60" s="70" t="s">
        <v>20</v>
      </c>
      <c r="F60" s="72">
        <v>7655268.7699999996</v>
      </c>
      <c r="G60" s="70" t="s">
        <v>60</v>
      </c>
      <c r="H60" s="73" t="s">
        <v>61</v>
      </c>
      <c r="I60" s="74">
        <v>1</v>
      </c>
      <c r="J60" s="75" t="s">
        <v>19</v>
      </c>
      <c r="K60" s="76">
        <v>180</v>
      </c>
      <c r="L60" s="77" t="s">
        <v>19</v>
      </c>
      <c r="M60" s="77" t="s">
        <v>19</v>
      </c>
      <c r="N60" s="77" t="s">
        <v>19</v>
      </c>
      <c r="O60" s="75" t="s">
        <v>19</v>
      </c>
      <c r="P60" s="75" t="s">
        <v>19</v>
      </c>
      <c r="Q60" s="73" t="s">
        <v>169</v>
      </c>
      <c r="R60" s="70" t="s">
        <v>179</v>
      </c>
      <c r="S60" s="79"/>
      <c r="T60" s="79"/>
    </row>
  </sheetData>
  <autoFilter ref="A3:U60" xr:uid="{B74A0094-1025-4864-83FF-023433E08491}"/>
  <mergeCells count="1">
    <mergeCell ref="A1:Q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8674dcf-4911-4bc7-8293-79cf58857cc8" xsi:nil="true"/>
    <fecha xmlns="2d892915-6430-4e9f-8291-035f0b577f87">2026-03-17T14:16:22+00:00</fecha>
    <lcf76f155ced4ddcb4097134ff3c332f xmlns="2d892915-6430-4e9f-8291-035f0b577f87">
      <Terms xmlns="http://schemas.microsoft.com/office/infopath/2007/PartnerControls"/>
    </lcf76f155ced4ddcb4097134ff3c332f>
    <Usuarios xmlns="2d892915-6430-4e9f-8291-035f0b577f87">
      <UserInfo>
        <DisplayName/>
        <AccountId xsi:nil="true"/>
        <AccountType/>
      </UserInfo>
    </Usuario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8466678A5AF4741BE281C6A28F68F87" ma:contentTypeVersion="18" ma:contentTypeDescription="Crear nuevo documento." ma:contentTypeScope="" ma:versionID="f4cc883da43b7d351e65eed64a55e3f5">
  <xsd:schema xmlns:xsd="http://www.w3.org/2001/XMLSchema" xmlns:xs="http://www.w3.org/2001/XMLSchema" xmlns:p="http://schemas.microsoft.com/office/2006/metadata/properties" xmlns:ns2="58674dcf-4911-4bc7-8293-79cf58857cc8" xmlns:ns3="2d892915-6430-4e9f-8291-035f0b577f87" targetNamespace="http://schemas.microsoft.com/office/2006/metadata/properties" ma:root="true" ma:fieldsID="831a5c65281e24e4af5aeb8d25762d6d" ns2:_="" ns3:_="">
    <xsd:import namespace="58674dcf-4911-4bc7-8293-79cf58857cc8"/>
    <xsd:import namespace="2d892915-6430-4e9f-8291-035f0b577f8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MediaServiceSearchProperties" minOccurs="0"/>
                <xsd:element ref="ns3:Usuarios" minOccurs="0"/>
                <xsd:element ref="ns3:fecha"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674dcf-4911-4bc7-8293-79cf58857cc8"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351b58c-d45f-46b3-ac51-26e901264956}" ma:internalName="TaxCatchAll" ma:showField="CatchAllData" ma:web="58674dcf-4911-4bc7-8293-79cf58857c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892915-6430-4e9f-8291-035f0b577f8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adbc3c-875c-40aa-b677-bb7383716cf3"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Usuarios" ma:index="23" nillable="true" ma:displayName="Usuarios" ma:format="Dropdown" ma:list="UserInfo" ma:SharePointGroup="0" ma:internalName="Usuario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echa" ma:index="24" nillable="true" ma:displayName="fecha" ma:default="[today]" ma:format="DateOnly" ma:internalName="fecha">
      <xsd:simpleType>
        <xsd:restriction base="dms:DateTim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D19914-3E13-4F07-A3B6-BA2E7DD752CD}">
  <ds:schemaRefs>
    <ds:schemaRef ds:uri="http://schemas.microsoft.com/sharepoint/v3/contenttype/forms"/>
  </ds:schemaRefs>
</ds:datastoreItem>
</file>

<file path=customXml/itemProps2.xml><?xml version="1.0" encoding="utf-8"?>
<ds:datastoreItem xmlns:ds="http://schemas.openxmlformats.org/officeDocument/2006/customXml" ds:itemID="{CAB88714-F517-4774-90E3-31AD59683358}">
  <ds:schemaRefs>
    <ds:schemaRef ds:uri="http://schemas.microsoft.com/office/2006/metadata/properties"/>
    <ds:schemaRef ds:uri="http://schemas.microsoft.com/office/infopath/2007/PartnerControls"/>
    <ds:schemaRef ds:uri="58674dcf-4911-4bc7-8293-79cf58857cc8"/>
    <ds:schemaRef ds:uri="2d892915-6430-4e9f-8291-035f0b577f87"/>
  </ds:schemaRefs>
</ds:datastoreItem>
</file>

<file path=customXml/itemProps3.xml><?xml version="1.0" encoding="utf-8"?>
<ds:datastoreItem xmlns:ds="http://schemas.openxmlformats.org/officeDocument/2006/customXml" ds:itemID="{08B9EAA7-C601-47B5-AC50-2FCFD63EE0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674dcf-4911-4bc7-8293-79cf58857cc8"/>
    <ds:schemaRef ds:uri="2d892915-6430-4e9f-8291-035f0b577f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UGEO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OPP 30</dc:creator>
  <cp:keywords/>
  <dc:description/>
  <cp:lastModifiedBy>DIPLAN 11</cp:lastModifiedBy>
  <cp:revision/>
  <dcterms:created xsi:type="dcterms:W3CDTF">2015-06-05T18:19:34Z</dcterms:created>
  <dcterms:modified xsi:type="dcterms:W3CDTF">2026-04-14T16:54:57Z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0x010100E8466678A5AF4741BE281C6A28F68F87</vt:lpwstr>
  </property>
</Properties>
</file>